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Users\Administrator\Downloads\ONEDRIVE\Desktop\Modernland New\"/>
    </mc:Choice>
  </mc:AlternateContent>
  <xr:revisionPtr revIDLastSave="0" documentId="13_ncr:1_{CEF2F38B-2483-4C66-9857-A637A18917FC}" xr6:coauthVersionLast="47" xr6:coauthVersionMax="47" xr10:uidLastSave="{00000000-0000-0000-0000-000000000000}"/>
  <bookViews>
    <workbookView xWindow="-110" yWindow="-110" windowWidth="29020" windowHeight="17500" tabRatio="500" xr2:uid="{00000000-000D-0000-FFFF-FFFF00000000}"/>
  </bookViews>
  <sheets>
    <sheet name="LMS" sheetId="7" r:id="rId1"/>
    <sheet name="WBS Tree Diagram" sheetId="9" state="hidden" r:id="rId2"/>
    <sheet name="WBS" sheetId="5" state="hidden" r:id="rId3"/>
  </sheets>
  <externalReferences>
    <externalReference r:id="rId4"/>
  </externalReferences>
  <definedNames>
    <definedName name="prevWBS" localSheetId="0">LMS!$A1048576</definedName>
    <definedName name="_xlnm.Print_Area" localSheetId="0">LMS!$A$2:$BN$43</definedName>
    <definedName name="_xlnm.Print_Area" localSheetId="1">'WBS Tree Diagram'!$B$1:$H$23</definedName>
    <definedName name="_xlnm.Print_Titles" localSheetId="0">LMS!$5:$8</definedName>
    <definedName name="Type">'[1]Maintenance Work Order'!#REF!</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7" l="1"/>
  <c r="A33" i="7"/>
  <c r="A34" i="7" s="1"/>
  <c r="A35" i="7" s="1"/>
  <c r="F34" i="7"/>
  <c r="F35" i="7"/>
  <c r="F36" i="7"/>
  <c r="F37" i="7"/>
  <c r="F38" i="7"/>
  <c r="F39" i="7"/>
  <c r="F40" i="7"/>
  <c r="F41" i="7"/>
  <c r="F42" i="7"/>
  <c r="I42" i="7" s="1"/>
  <c r="F43" i="7"/>
  <c r="I43" i="7" s="1"/>
  <c r="F44" i="7"/>
  <c r="F45" i="7"/>
  <c r="F46" i="7"/>
  <c r="I46" i="7" s="1"/>
  <c r="F47" i="7"/>
  <c r="I47" i="7" s="1"/>
  <c r="F48" i="7"/>
  <c r="I48" i="7" s="1"/>
  <c r="F49" i="7"/>
  <c r="I49" i="7" s="1"/>
  <c r="F50" i="7"/>
  <c r="F33" i="7"/>
  <c r="I33" i="7" s="1"/>
  <c r="A50" i="7"/>
  <c r="A46" i="7"/>
  <c r="A47" i="7" s="1"/>
  <c r="A48" i="7" s="1"/>
  <c r="A49" i="7" s="1"/>
  <c r="I41" i="7"/>
  <c r="I40" i="7"/>
  <c r="I39" i="7"/>
  <c r="I38" i="7"/>
  <c r="I37" i="7"/>
  <c r="I36" i="7"/>
  <c r="I35" i="7"/>
  <c r="F32" i="7"/>
  <c r="I32" i="7" s="1"/>
  <c r="F31" i="7"/>
  <c r="I31" i="7" s="1"/>
  <c r="F30" i="7"/>
  <c r="I30" i="7" s="1"/>
  <c r="F29" i="7"/>
  <c r="I29" i="7" s="1"/>
  <c r="F28" i="7"/>
  <c r="I28" i="7" s="1"/>
  <c r="F27" i="7"/>
  <c r="I27" i="7" s="1"/>
  <c r="A27" i="7"/>
  <c r="A28" i="7" s="1"/>
  <c r="A29" i="7" s="1"/>
  <c r="A30" i="7" s="1"/>
  <c r="A31" i="7" s="1"/>
  <c r="A32" i="7" s="1"/>
  <c r="F26" i="7"/>
  <c r="I26" i="7" s="1"/>
  <c r="F25" i="7"/>
  <c r="I25" i="7" s="1"/>
  <c r="F24" i="7"/>
  <c r="I24" i="7" s="1"/>
  <c r="F23" i="7"/>
  <c r="I23" i="7" s="1"/>
  <c r="F22" i="7"/>
  <c r="I22" i="7" s="1"/>
  <c r="F21" i="7"/>
  <c r="I21" i="7" s="1"/>
  <c r="F20" i="7"/>
  <c r="I20" i="7" s="1"/>
  <c r="F19" i="7"/>
  <c r="I19" i="7" s="1"/>
  <c r="F18" i="7"/>
  <c r="I18" i="7" s="1"/>
  <c r="F17" i="7"/>
  <c r="I17" i="7" s="1"/>
  <c r="F16" i="7"/>
  <c r="I16" i="7" s="1"/>
  <c r="F15" i="7"/>
  <c r="I15" i="7" s="1"/>
  <c r="F14" i="7"/>
  <c r="I14" i="7" s="1"/>
  <c r="F13" i="7"/>
  <c r="I13" i="7" s="1"/>
  <c r="F12" i="7"/>
  <c r="I12" i="7" s="1"/>
  <c r="F11" i="7"/>
  <c r="I11" i="7" s="1"/>
  <c r="F10" i="7"/>
  <c r="I10" i="7" s="1"/>
  <c r="F9" i="7"/>
  <c r="I9" i="7" s="1"/>
  <c r="A9" i="7"/>
  <c r="A10" i="7" s="1"/>
  <c r="A11" i="7" s="1"/>
  <c r="A12" i="7" s="1"/>
  <c r="A13" i="7" s="1"/>
  <c r="A14" i="7" s="1"/>
  <c r="A15" i="7" s="1"/>
  <c r="A16" i="7" s="1"/>
  <c r="A17" i="7" s="1"/>
  <c r="A18" i="7" s="1"/>
  <c r="A19" i="7" s="1"/>
  <c r="A20" i="7" s="1"/>
  <c r="A21" i="7" s="1"/>
  <c r="A22" i="7" s="1"/>
  <c r="A23" i="7" s="1"/>
  <c r="A24" i="7" s="1"/>
  <c r="FO8" i="7"/>
  <c r="FN8" i="7"/>
  <c r="FM8" i="7"/>
  <c r="FL8" i="7"/>
  <c r="FK8" i="7"/>
  <c r="FJ8" i="7"/>
  <c r="FI8" i="7"/>
  <c r="FH8" i="7"/>
  <c r="FG8" i="7"/>
  <c r="FF8" i="7"/>
  <c r="FE8" i="7"/>
  <c r="FD8" i="7"/>
  <c r="FC8" i="7"/>
  <c r="FB8" i="7"/>
  <c r="FA8" i="7"/>
  <c r="EZ8" i="7"/>
  <c r="EY8" i="7"/>
  <c r="EX8" i="7"/>
  <c r="EW8" i="7"/>
  <c r="EV8" i="7"/>
  <c r="EU8" i="7"/>
  <c r="ET8" i="7"/>
  <c r="ES8" i="7"/>
  <c r="ER8" i="7"/>
  <c r="EQ8" i="7"/>
  <c r="EP8" i="7"/>
  <c r="EO8" i="7"/>
  <c r="EN8" i="7"/>
  <c r="EM8" i="7"/>
  <c r="EL8" i="7"/>
  <c r="EK8" i="7"/>
  <c r="EJ8" i="7"/>
  <c r="EI8" i="7"/>
  <c r="EH8" i="7"/>
  <c r="EG8" i="7"/>
  <c r="EF8" i="7"/>
  <c r="EE8" i="7"/>
  <c r="ED8" i="7"/>
  <c r="EC8" i="7"/>
  <c r="EB8" i="7"/>
  <c r="EA8" i="7"/>
  <c r="DZ8" i="7"/>
  <c r="DY8" i="7"/>
  <c r="DX8" i="7"/>
  <c r="DW8" i="7"/>
  <c r="DV8" i="7"/>
  <c r="DU8" i="7"/>
  <c r="DT8" i="7"/>
  <c r="DS8" i="7"/>
  <c r="DR8" i="7"/>
  <c r="DQ8" i="7"/>
  <c r="DP8" i="7"/>
  <c r="DO8" i="7"/>
  <c r="DN8" i="7"/>
  <c r="DM8" i="7"/>
  <c r="DL8" i="7"/>
  <c r="DK8" i="7"/>
  <c r="DJ8" i="7"/>
  <c r="DI8" i="7"/>
  <c r="DH8" i="7"/>
  <c r="DG8" i="7"/>
  <c r="DF8" i="7"/>
  <c r="DE8" i="7"/>
  <c r="DD8" i="7"/>
  <c r="DC8" i="7"/>
  <c r="DB8" i="7"/>
  <c r="DA8" i="7"/>
  <c r="CZ8" i="7"/>
  <c r="CY8" i="7"/>
  <c r="CX8" i="7"/>
  <c r="CW8" i="7"/>
  <c r="CV8" i="7"/>
  <c r="CU8" i="7"/>
  <c r="CT8" i="7"/>
  <c r="CS8" i="7"/>
  <c r="CR8" i="7"/>
  <c r="CQ8" i="7"/>
  <c r="CP8" i="7"/>
  <c r="CO8" i="7"/>
  <c r="CN8" i="7"/>
  <c r="CM8" i="7"/>
  <c r="CL8" i="7"/>
  <c r="CK8" i="7"/>
  <c r="CJ8" i="7"/>
  <c r="CI8" i="7"/>
  <c r="CH8" i="7"/>
  <c r="CG8" i="7"/>
  <c r="CF8" i="7"/>
  <c r="CE8" i="7"/>
  <c r="CD8" i="7"/>
  <c r="CC8" i="7"/>
  <c r="CB8" i="7"/>
  <c r="CA8" i="7"/>
  <c r="BZ8" i="7"/>
  <c r="BY8" i="7"/>
  <c r="BX8" i="7"/>
  <c r="BW8" i="7"/>
  <c r="BV8" i="7"/>
  <c r="BU8" i="7"/>
  <c r="BT8" i="7"/>
  <c r="BS8" i="7"/>
  <c r="BR8" i="7"/>
  <c r="BQ8" i="7"/>
  <c r="BP8" i="7"/>
  <c r="BO8" i="7"/>
  <c r="K7" i="7"/>
  <c r="K6" i="7" s="1"/>
  <c r="A36" i="7" l="1"/>
  <c r="A37" i="7" s="1"/>
  <c r="A38" i="7" s="1"/>
  <c r="A39" i="7" s="1"/>
  <c r="A40" i="7" s="1"/>
  <c r="A41" i="7" s="1"/>
  <c r="K8" i="7"/>
  <c r="L7" i="7"/>
  <c r="K5" i="7"/>
  <c r="M7" i="7" l="1"/>
  <c r="L8" i="7"/>
  <c r="N7" i="7" l="1"/>
  <c r="M8" i="7"/>
  <c r="O7" i="7" l="1"/>
  <c r="N8" i="7"/>
  <c r="P7" i="7" l="1"/>
  <c r="O8" i="7"/>
  <c r="Q7" i="7" l="1"/>
  <c r="P8" i="7"/>
  <c r="R7" i="7" l="1"/>
  <c r="Q8" i="7"/>
  <c r="R6" i="7" l="1"/>
  <c r="R8" i="7"/>
  <c r="R5" i="7"/>
  <c r="S7" i="7"/>
  <c r="S8" i="7" l="1"/>
  <c r="T7" i="7"/>
  <c r="T8" i="7" l="1"/>
  <c r="U7" i="7"/>
  <c r="U8" i="7" l="1"/>
  <c r="V7" i="7"/>
  <c r="V8" i="7" l="1"/>
  <c r="W7" i="7"/>
  <c r="W8" i="7" l="1"/>
  <c r="X7" i="7"/>
  <c r="X8" i="7" l="1"/>
  <c r="Y7" i="7"/>
  <c r="Y8" i="7" l="1"/>
  <c r="Z7" i="7"/>
  <c r="Y6" i="7"/>
  <c r="Y5" i="7"/>
  <c r="AA7" i="7" l="1"/>
  <c r="Z8" i="7"/>
  <c r="AB7" i="7" l="1"/>
  <c r="AA8" i="7"/>
  <c r="AB8" i="7" l="1"/>
  <c r="AC7" i="7"/>
  <c r="AC8" i="7" l="1"/>
  <c r="AD7" i="7"/>
  <c r="AD8" i="7" l="1"/>
  <c r="AE7" i="7"/>
  <c r="AE8" i="7" l="1"/>
  <c r="AF7" i="7"/>
  <c r="AF6" i="7" l="1"/>
  <c r="AG7" i="7"/>
  <c r="AF5" i="7"/>
  <c r="AF8" i="7"/>
  <c r="AH7" i="7" l="1"/>
  <c r="AG8" i="7"/>
  <c r="AI7" i="7" l="1"/>
  <c r="AH8" i="7"/>
  <c r="AJ7" i="7" l="1"/>
  <c r="AI8" i="7"/>
  <c r="AJ8" i="7" l="1"/>
  <c r="AK7" i="7"/>
  <c r="AK8" i="7" l="1"/>
  <c r="AL7" i="7"/>
  <c r="AL8" i="7" l="1"/>
  <c r="AM7" i="7"/>
  <c r="AM6" i="7" l="1"/>
  <c r="AM8" i="7"/>
  <c r="AN7" i="7"/>
  <c r="AM5" i="7"/>
  <c r="AN8" i="7" l="1"/>
  <c r="AO7" i="7"/>
  <c r="AO8" i="7" l="1"/>
  <c r="AP7" i="7"/>
  <c r="AP8" i="7" l="1"/>
  <c r="AQ7" i="7"/>
  <c r="AQ8" i="7" l="1"/>
  <c r="AR7" i="7"/>
  <c r="AS7" i="7" l="1"/>
  <c r="AR8" i="7"/>
  <c r="AT7" i="7" l="1"/>
  <c r="AS8" i="7"/>
  <c r="AT6" i="7" l="1"/>
  <c r="AU7" i="7"/>
  <c r="AT8" i="7"/>
  <c r="AT5" i="7"/>
  <c r="AV7" i="7" l="1"/>
  <c r="AU8" i="7"/>
  <c r="AW7" i="7" l="1"/>
  <c r="AV8" i="7"/>
  <c r="AX7" i="7" l="1"/>
  <c r="AW8" i="7"/>
  <c r="AY7" i="7" l="1"/>
  <c r="AX8" i="7"/>
  <c r="AZ7" i="7" l="1"/>
  <c r="AY8" i="7"/>
  <c r="BA7" i="7" l="1"/>
  <c r="AZ8" i="7"/>
  <c r="BA6" i="7" l="1"/>
  <c r="BA8" i="7"/>
  <c r="BA5" i="7"/>
  <c r="BB7" i="7"/>
  <c r="BB8" i="7" l="1"/>
  <c r="BC7" i="7"/>
  <c r="BC8" i="7" l="1"/>
  <c r="BD7" i="7"/>
  <c r="BD8" i="7" l="1"/>
  <c r="BE7" i="7"/>
  <c r="BE8" i="7" l="1"/>
  <c r="BF7" i="7"/>
  <c r="BF8" i="7" l="1"/>
  <c r="BG7" i="7"/>
  <c r="BG8" i="7" l="1"/>
  <c r="BH7" i="7"/>
  <c r="BH8" i="7" l="1"/>
  <c r="BI7" i="7"/>
  <c r="BH6" i="7"/>
  <c r="BH5" i="7"/>
  <c r="BI8" i="7" l="1"/>
  <c r="BJ7" i="7"/>
  <c r="BK7" i="7" l="1"/>
  <c r="BJ8" i="7"/>
  <c r="BK8" i="7" l="1"/>
  <c r="BL7" i="7"/>
  <c r="BL8" i="7" l="1"/>
  <c r="BM7" i="7"/>
  <c r="BM8" i="7" l="1"/>
  <c r="BN7" i="7"/>
  <c r="BN8"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9FA85191-71CC-46D1-AAA7-C27A9E3FB4F1}">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E2A99440-765C-4720-BF8F-6087DB2108F6}">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65B27323-5DD6-467D-BCC4-3D2F047B4C66}">
      <text>
        <r>
          <rPr>
            <b/>
            <sz val="9"/>
            <color indexed="81"/>
            <rFont val="Tahoma"/>
            <family val="2"/>
          </rPr>
          <t>Task Lead</t>
        </r>
        <r>
          <rPr>
            <sz val="9"/>
            <color indexed="81"/>
            <rFont val="Tahoma"/>
            <family val="2"/>
          </rPr>
          <t xml:space="preserve">
Enter the name of the Task Lead in this column.</t>
        </r>
      </text>
    </comment>
    <comment ref="D7" authorId="0" shapeId="0" xr:uid="{CECDE30B-A99A-42DA-9F8F-CEDBFB1503A1}">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BB38339A-7D5E-4931-8BCD-79D079B2666C}">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E3EF7441-E26D-4C75-BB5F-8E78F9B3E20B}">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3FF4541A-7185-4730-B9A4-1D98C88BBB4B}">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65972FFA-F94F-43E6-99DE-206EC47C10F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831C8557-EF67-491D-A67F-C2B33A2CFB63}">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<sst xmlns="http://schemas.openxmlformats.org/spreadsheetml/2006/main" count="126" uniqueCount="121">
  <si>
    <t>DATE</t>
  </si>
  <si>
    <t>PROJECT TITLE</t>
  </si>
  <si>
    <t>PROJECT MANAGER</t>
  </si>
  <si>
    <t>COMPANY NAME</t>
  </si>
  <si>
    <t>WORK BREAKDOWN STRUCTURE TREE DIAGRAM TEMPLATE</t>
  </si>
  <si>
    <t>WBS Code</t>
  </si>
  <si>
    <t>Task Name</t>
  </si>
  <si>
    <t>Description</t>
  </si>
  <si>
    <t>Start Date</t>
  </si>
  <si>
    <t>End Date</t>
  </si>
  <si>
    <t>Duration (days)</t>
  </si>
  <si>
    <t>Resources</t>
  </si>
  <si>
    <t>1</t>
  </si>
  <si>
    <t>Project Initiation</t>
  </si>
  <si>
    <t>1.1</t>
  </si>
  <si>
    <t>Requirements Gathering</t>
  </si>
  <si>
    <t>Collecting detailed requirements from stakeholders.</t>
  </si>
  <si>
    <t>1.2</t>
  </si>
  <si>
    <t>Feasibility Study</t>
  </si>
  <si>
    <t>Analyzing the feasibility of the project.</t>
  </si>
  <si>
    <t>2</t>
  </si>
  <si>
    <t>Planning</t>
  </si>
  <si>
    <t>2.1</t>
  </si>
  <si>
    <t>Project Plan</t>
  </si>
  <si>
    <t>Developing a comprehensive project plan.</t>
  </si>
  <si>
    <t>2.2</t>
  </si>
  <si>
    <t>Risk Assessment</t>
  </si>
  <si>
    <t>Identifying and assessing potential risks.</t>
  </si>
  <si>
    <t>3</t>
  </si>
  <si>
    <t>Execution</t>
  </si>
  <si>
    <t>3.1</t>
  </si>
  <si>
    <t>Hardware Upgrade</t>
  </si>
  <si>
    <t>Replacing outdated hardware components.</t>
  </si>
  <si>
    <t>3.2</t>
  </si>
  <si>
    <t>Software Upgrade</t>
  </si>
  <si>
    <t>Installing and configuring new software.</t>
  </si>
  <si>
    <t>3.3</t>
  </si>
  <si>
    <t>Network Upgrade</t>
  </si>
  <si>
    <t>Enhancing network infrastructure.</t>
  </si>
  <si>
    <t>3.4</t>
  </si>
  <si>
    <t>Security Improvements</t>
  </si>
  <si>
    <t>Implementing new security protocols and tools.</t>
  </si>
  <si>
    <t>4</t>
  </si>
  <si>
    <t>Training</t>
  </si>
  <si>
    <t>4.1</t>
  </si>
  <si>
    <t>User Training</t>
  </si>
  <si>
    <t>Conducting training sessions for all staff.</t>
  </si>
  <si>
    <t>5</t>
  </si>
  <si>
    <t>Monitoring &amp; Control</t>
  </si>
  <si>
    <t>5.1</t>
  </si>
  <si>
    <t>Performance Monitoring</t>
  </si>
  <si>
    <t>Continuously monitoring system performance.</t>
  </si>
  <si>
    <t>5.2</t>
  </si>
  <si>
    <t>Risk Management</t>
  </si>
  <si>
    <t>Managing and mitigating risks throughout the project.</t>
  </si>
  <si>
    <t>6</t>
  </si>
  <si>
    <t>Project Closure</t>
  </si>
  <si>
    <t>6.1</t>
  </si>
  <si>
    <t>Final Review</t>
  </si>
  <si>
    <t>Conducting a final review and assessment of the project.</t>
  </si>
  <si>
    <t>6.2</t>
  </si>
  <si>
    <t>Documentation</t>
  </si>
  <si>
    <t>Compiling all project documentation.</t>
  </si>
  <si>
    <t>6.3</t>
  </si>
  <si>
    <t>Project Handover</t>
  </si>
  <si>
    <t>Handing over the project deliverables to the stakeholders.</t>
  </si>
  <si>
    <t>Gray</t>
  </si>
  <si>
    <t>Not Completed</t>
  </si>
  <si>
    <t>LMS Modernland Project Schedule</t>
  </si>
  <si>
    <t>Gantt Chart Learning Management System Modernland</t>
  </si>
  <si>
    <t>Green</t>
  </si>
  <si>
    <t>Completed</t>
  </si>
  <si>
    <t>Modernland Realty Tbk.</t>
  </si>
  <si>
    <t xml:space="preserve">Project Start Date </t>
  </si>
  <si>
    <t xml:space="preserve">Display Week </t>
  </si>
  <si>
    <t xml:space="preserve">Project Lead </t>
  </si>
  <si>
    <t>Tamara Tan</t>
  </si>
  <si>
    <t>WBS</t>
  </si>
  <si>
    <t>TASK</t>
  </si>
  <si>
    <t>LEAD</t>
  </si>
  <si>
    <t>PREDECESSOR</t>
  </si>
  <si>
    <t>START</t>
  </si>
  <si>
    <t>END</t>
  </si>
  <si>
    <t>DAYS</t>
  </si>
  <si>
    <t>% DONE</t>
  </si>
  <si>
    <t>WORK DAYS</t>
  </si>
  <si>
    <t>Meeting Concept</t>
  </si>
  <si>
    <t>BRD concept</t>
  </si>
  <si>
    <t>Project Backgrouund</t>
  </si>
  <si>
    <t>Business Pocess &amp; Requrement Scope</t>
  </si>
  <si>
    <t>Functional Requirements</t>
  </si>
  <si>
    <t>Use Case Flow &amp; Specification</t>
  </si>
  <si>
    <t>User Activity Diagram</t>
  </si>
  <si>
    <t>Data Architecture</t>
  </si>
  <si>
    <t xml:space="preserve">User Interface Digitalization. </t>
  </si>
  <si>
    <t>User Interface</t>
  </si>
  <si>
    <t>*</t>
  </si>
  <si>
    <t>Brainstorming</t>
  </si>
  <si>
    <t>Pengumpulan &amp; Pembuatan Asset</t>
  </si>
  <si>
    <t>Pembuatan Home Page &amp; Login</t>
  </si>
  <si>
    <t>Pembuatan mock-up Admin</t>
  </si>
  <si>
    <t>Pembuatan mock-up user</t>
  </si>
  <si>
    <t>Pembuatan mock-up HR &amp; Admin</t>
  </si>
  <si>
    <t>Finalisasi</t>
  </si>
  <si>
    <t>Progamming</t>
  </si>
  <si>
    <t>Learning Boostrap &amp; Framework</t>
  </si>
  <si>
    <t>Pembuatan Portofolio</t>
  </si>
  <si>
    <t>Pembuatan Resources</t>
  </si>
  <si>
    <t>Pembuatan User Page</t>
  </si>
  <si>
    <t>Pembuatan HR &amp; Admin Page</t>
  </si>
  <si>
    <t>Testing Apps</t>
  </si>
  <si>
    <t>[Task Category]</t>
  </si>
  <si>
    <t>[Task]</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</si>
  <si>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</si>
  <si>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</si>
  <si>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</si>
  <si>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</si>
  <si>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</si>
  <si>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</si>
  <si>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Tambahan fitur User dari HR</t>
  </si>
  <si>
    <t>Tambahan fitur HR dari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</si>
</sst>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m/d/yyyy\ \(dddd\)"/>
    <numFmt numFmtId="166" formatCode="d\ mmm\ yyyy"/>
    <numFmt numFmtId="167" formatCode="d"/>
    <numFmt numFmtId="168" formatCode="ddd\ m/dd/yy"/>
    <numFmt numFmtId="169" formatCode="ddd\ dd/mm/yyyy"/>
    <numFmt numFmtId="170" formatCode="ddd\ ddd/mm/yyyy"/>
    <numFmt numFmtId="171" formatCode="ddd/mm/yyyy"/>
  </numFmts>
  <fonts count="48" x14ac:knownFonts="1">
    <font>
      <sz val="12"/>
      <color theme="1"/>
      <name val="Calibri"/>
      <family val="2"/>
      <scheme val="minor"/>
    </font>
    <font>
      <sz val="11"/>
      <color theme="1"/>
      <name val="Calibri"/>
      <family val="2"/>
      <scheme val="minor"/>
    </font>
    <font>
      <b/>
      <sz val="22"/>
      <color theme="4" tint="-0.499984740745262"/>
      <name val="Century Gothic"/>
      <family val="1"/>
    </font>
    <font>
      <sz val="12"/>
      <color theme="1"/>
      <name val="Century Gothic"/>
      <family val="1"/>
    </font>
    <font>
      <u/>
      <sz val="12"/>
      <color theme="10"/>
      <name val="Calibri"/>
      <family val="2"/>
      <scheme val="minor"/>
    </font>
    <font>
      <u/>
      <sz val="12"/>
      <color theme="11"/>
      <name val="Calibri"/>
      <family val="2"/>
      <scheme val="minor"/>
    </font>
    <font>
      <b/>
      <sz val="20"/>
      <color theme="4" tint="-0.499984740745262"/>
      <name val="Century Gothic"/>
      <family val="1"/>
    </font>
    <font>
      <sz val="11"/>
      <color theme="1"/>
      <name val="Century Gothic"/>
      <family val="1"/>
    </font>
    <font>
      <sz val="11"/>
      <color theme="1"/>
      <name val="Calibri"/>
      <family val="2"/>
      <scheme val="minor"/>
    </font>
    <font>
      <sz val="12"/>
      <color theme="1"/>
      <name val="Arial"/>
      <family val="2"/>
    </font>
    <font>
      <b/>
      <sz val="20"/>
      <color theme="0" tint="-0.499984740745262"/>
      <name val="Century Gothic"/>
      <family val="1"/>
    </font>
    <font>
      <b/>
      <sz val="22"/>
      <color theme="0"/>
      <name val="Century Gothic"/>
      <family val="2"/>
    </font>
    <font>
      <b/>
      <sz val="10"/>
      <color theme="1"/>
      <name val="Century Gothic"/>
      <family val="1"/>
    </font>
    <font>
      <b/>
      <sz val="11"/>
      <color theme="1"/>
      <name val="Calibri"/>
      <family val="2"/>
      <scheme val="minor"/>
    </font>
    <font>
      <sz val="10"/>
      <name val="Arial"/>
      <family val="2"/>
    </font>
    <font>
      <sz val="10"/>
      <name val="Amasis MT Pro"/>
      <family val="1"/>
    </font>
    <font>
      <sz val="16"/>
      <color theme="4" tint="-0.249977111117893"/>
      <name val="Amasis MT Pro Medium"/>
      <family val="1"/>
    </font>
    <font>
      <sz val="14"/>
      <color indexed="56"/>
      <name val="Arial"/>
      <family val="2"/>
    </font>
    <font>
      <sz val="10"/>
      <name val="Arial"/>
      <family val="2"/>
    </font>
    <font>
      <u/>
      <sz val="10"/>
      <color indexed="12"/>
      <name val="Arial"/>
      <family val="2"/>
    </font>
    <font>
      <i/>
      <u/>
      <sz val="11"/>
      <color theme="1" tint="0.34998626667073579"/>
      <name val="Amasis MT Pro"/>
      <family val="1"/>
    </font>
    <font>
      <i/>
      <sz val="11"/>
      <color theme="1" tint="0.34998626667073579"/>
      <name val="Amasis MT Pro"/>
      <family val="1"/>
    </font>
    <font>
      <sz val="14"/>
      <name val="Amasis MT Pro"/>
      <family val="1"/>
    </font>
    <font>
      <sz val="9"/>
      <name val="Arial"/>
      <family val="2"/>
    </font>
    <font>
      <u/>
      <sz val="8"/>
      <color indexed="12"/>
      <name val="Arial"/>
      <family val="2"/>
    </font>
    <font>
      <sz val="7"/>
      <color indexed="55"/>
      <name val="Arial"/>
      <family val="2"/>
    </font>
    <font>
      <sz val="11"/>
      <name val="Calibri Light"/>
      <family val="1"/>
      <scheme val="major"/>
    </font>
    <font>
      <sz val="10"/>
      <name val="Calibri Light"/>
      <family val="2"/>
      <scheme val="major"/>
    </font>
    <font>
      <sz val="10"/>
      <name val="Calibri"/>
      <family val="2"/>
      <scheme val="minor"/>
    </font>
    <font>
      <sz val="10"/>
      <name val="Calibri Light"/>
      <family val="1"/>
      <scheme val="major"/>
    </font>
    <font>
      <sz val="11"/>
      <name val="Calibri"/>
      <family val="2"/>
      <scheme val="minor"/>
    </font>
    <font>
      <b/>
      <sz val="9"/>
      <name val="Calibri Light"/>
      <family val="2"/>
      <scheme val="major"/>
    </font>
    <font>
      <b/>
      <sz val="8"/>
      <name val="Calibri Light"/>
      <family val="2"/>
      <scheme val="major"/>
    </font>
    <font>
      <sz val="8"/>
      <name val="Arial"/>
      <family val="2"/>
    </font>
    <font>
      <sz val="9"/>
      <name val="Calibri"/>
      <family val="2"/>
      <scheme val="minor"/>
    </font>
    <font>
      <b/>
      <sz val="11"/>
      <name val="Calibri"/>
      <family val="2"/>
      <scheme val="minor"/>
    </font>
    <font>
      <sz val="14"/>
      <name val="Calibri"/>
      <family val="2"/>
      <scheme val="minor"/>
    </font>
    <font>
      <sz val="9"/>
      <color rgb="FF000000"/>
      <name val="Calibri"/>
      <family val="2"/>
      <scheme val="minor"/>
    </font>
    <font>
      <sz val="14"/>
      <color rgb="FF000000"/>
      <name val="Calibri"/>
      <family val="2"/>
      <scheme val="minor"/>
    </font>
    <font>
      <i/>
      <sz val="9"/>
      <name val="Calibri"/>
      <family val="2"/>
      <scheme val="minor"/>
    </font>
    <font>
      <b/>
      <sz val="10"/>
      <color rgb="FF000000"/>
      <name val="Calibri"/>
      <family val="2"/>
      <scheme val="minor"/>
    </font>
    <font>
      <sz val="10"/>
      <color rgb="FF000000"/>
      <name val="Calibri"/>
      <family val="2"/>
      <scheme val="minor"/>
    </font>
    <font>
      <sz val="8"/>
      <name val="Calibri"/>
      <family val="2"/>
      <scheme val="minor"/>
    </font>
    <font>
      <b/>
      <sz val="11"/>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s>
  <fills count="13">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rgb="FF00B050"/>
        <bgColor indexed="64"/>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rgb="FFD6F4D9"/>
      </patternFill>
    </fill>
    <fill>
      <patternFill patternType="solid">
        <fgColor theme="0" tint="-0.14999847407452621"/>
        <bgColor rgb="FFD9D9D9"/>
      </patternFill>
    </fill>
    <fill>
      <patternFill patternType="solid">
        <fgColor rgb="FFFFFFFF"/>
        <bgColor rgb="FFFFFFFF"/>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rgb="FFEFEFEF"/>
      </bottom>
      <diagonal/>
    </border>
  </borders>
  <cellStyleXfs count="15">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8" fillId="0" borderId="0"/>
    <xf numFmtId="0" fontId="4" fillId="0" borderId="0" applyNumberFormat="0" applyFill="0" applyBorder="0" applyAlignment="0" applyProtection="0"/>
    <xf numFmtId="0" fontId="1" fillId="0" borderId="0"/>
    <xf numFmtId="0" fontId="14" fillId="0" borderId="0"/>
    <xf numFmtId="0" fontId="19" fillId="0" borderId="0" applyNumberFormat="0" applyFill="0" applyBorder="0" applyAlignment="0" applyProtection="0">
      <alignment vertical="top"/>
      <protection locked="0"/>
    </xf>
    <xf numFmtId="9" fontId="18" fillId="0" borderId="0" applyFont="0" applyFill="0" applyBorder="0" applyAlignment="0" applyProtection="0"/>
  </cellStyleXfs>
  <cellXfs count="129">
    <xf numFmtId="0" fontId="0" fillId="0" borderId="0" xfId="0"/>
    <xf numFmtId="0" fontId="2" fillId="0" borderId="0" xfId="0" applyFont="1" applyAlignment="1">
      <alignment horizontal="left" vertical="center" wrapText="1"/>
    </xf>
    <xf numFmtId="0" fontId="6" fillId="0" borderId="0" xfId="0" applyFont="1" applyAlignment="1">
      <alignment horizontal="left" wrapText="1"/>
    </xf>
    <xf numFmtId="0" fontId="3" fillId="0" borderId="0" xfId="0" applyFont="1" applyAlignment="1">
      <alignment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164" fontId="7" fillId="0" borderId="2" xfId="0" applyNumberFormat="1" applyFont="1" applyBorder="1" applyAlignment="1">
      <alignment horizontal="left" vertical="center" wrapText="1"/>
    </xf>
    <xf numFmtId="164" fontId="7" fillId="0" borderId="4" xfId="0" applyNumberFormat="1" applyFont="1" applyBorder="1" applyAlignment="1">
      <alignment horizontal="left" vertical="center" wrapText="1"/>
    </xf>
    <xf numFmtId="0" fontId="9" fillId="0" borderId="0" xfId="0" applyFont="1" applyAlignment="1">
      <alignment wrapText="1"/>
    </xf>
    <xf numFmtId="0" fontId="10" fillId="2" borderId="0" xfId="0" applyFont="1" applyFill="1" applyAlignment="1">
      <alignment vertical="center"/>
    </xf>
    <xf numFmtId="0" fontId="11" fillId="0" borderId="0" xfId="10" applyFont="1" applyFill="1" applyBorder="1" applyAlignment="1">
      <alignment vertical="center"/>
    </xf>
    <xf numFmtId="0" fontId="11" fillId="0" borderId="0" xfId="10" applyFont="1" applyFill="1" applyAlignment="1">
      <alignment vertical="center"/>
    </xf>
    <xf numFmtId="0" fontId="12" fillId="3" borderId="1" xfId="0" applyFont="1" applyFill="1" applyBorder="1" applyAlignment="1">
      <alignment horizontal="left" vertical="center" wrapText="1" indent="1"/>
    </xf>
    <xf numFmtId="0" fontId="1" fillId="0" borderId="0" xfId="11"/>
    <xf numFmtId="0" fontId="13" fillId="0" borderId="5" xfId="11" applyFont="1" applyBorder="1" applyAlignment="1">
      <alignment horizontal="center" vertical="top"/>
    </xf>
    <xf numFmtId="0" fontId="14" fillId="0" borderId="0" xfId="12"/>
    <xf numFmtId="0" fontId="15" fillId="0" borderId="0" xfId="12" applyFont="1"/>
    <xf numFmtId="0" fontId="15" fillId="4" borderId="0" xfId="12" applyFont="1" applyFill="1"/>
    <xf numFmtId="0" fontId="16" fillId="0" borderId="0" xfId="12" applyFont="1" applyAlignment="1" applyProtection="1">
      <alignment vertical="center"/>
      <protection locked="0"/>
    </xf>
    <xf numFmtId="0" fontId="17" fillId="0" borderId="0" xfId="12" applyFont="1" applyAlignment="1" applyProtection="1">
      <alignment vertical="center"/>
      <protection locked="0"/>
    </xf>
    <xf numFmtId="0" fontId="18" fillId="0" borderId="0" xfId="12" applyFont="1" applyAlignment="1">
      <alignment horizontal="right" vertical="center"/>
    </xf>
    <xf numFmtId="0" fontId="15" fillId="5" borderId="0" xfId="12" applyFont="1" applyFill="1"/>
    <xf numFmtId="0" fontId="22" fillId="0" borderId="0" xfId="12" applyFont="1" applyAlignment="1" applyProtection="1">
      <alignment vertical="center"/>
      <protection locked="0"/>
    </xf>
    <xf numFmtId="0" fontId="23" fillId="0" borderId="0" xfId="12" applyFont="1" applyProtection="1">
      <protection locked="0"/>
    </xf>
    <xf numFmtId="0" fontId="24" fillId="6" borderId="0" xfId="13" applyNumberFormat="1" applyFont="1" applyFill="1" applyAlignment="1" applyProtection="1">
      <alignment horizontal="right"/>
      <protection locked="0"/>
    </xf>
    <xf numFmtId="0" fontId="25" fillId="0" borderId="0" xfId="12" applyFont="1" applyProtection="1">
      <protection locked="0"/>
    </xf>
    <xf numFmtId="0" fontId="14" fillId="6" borderId="0" xfId="12" applyFill="1"/>
    <xf numFmtId="0" fontId="26" fillId="0" borderId="0" xfId="12" applyFont="1" applyAlignment="1" applyProtection="1">
      <alignment vertical="center"/>
      <protection locked="0"/>
    </xf>
    <xf numFmtId="0" fontId="18" fillId="0" borderId="0" xfId="12" applyFont="1"/>
    <xf numFmtId="0" fontId="19" fillId="0" borderId="0" xfId="13" applyAlignment="1" applyProtection="1">
      <alignment horizontal="left"/>
    </xf>
    <xf numFmtId="0" fontId="27" fillId="0" borderId="0" xfId="12" applyFont="1"/>
    <xf numFmtId="0" fontId="27" fillId="0" borderId="0" xfId="12" applyFont="1" applyAlignment="1">
      <alignment horizontal="right" vertical="center"/>
    </xf>
    <xf numFmtId="0" fontId="28" fillId="0" borderId="6" xfId="12" applyFont="1" applyBorder="1" applyAlignment="1" applyProtection="1">
      <alignment horizontal="center" vertical="center"/>
      <protection locked="0"/>
    </xf>
    <xf numFmtId="0" fontId="29" fillId="0" borderId="0" xfId="12" applyFont="1"/>
    <xf numFmtId="0" fontId="31" fillId="0" borderId="11" xfId="12" applyFont="1" applyBorder="1" applyAlignment="1">
      <alignment horizontal="left" vertical="center"/>
    </xf>
    <xf numFmtId="0" fontId="31" fillId="0" borderId="11" xfId="12" applyFont="1" applyBorder="1" applyAlignment="1">
      <alignment horizontal="center" vertical="center" wrapText="1"/>
    </xf>
    <xf numFmtId="0" fontId="32" fillId="0" borderId="11" xfId="12" applyFont="1" applyBorder="1" applyAlignment="1">
      <alignment horizontal="center" vertical="center" wrapText="1"/>
    </xf>
    <xf numFmtId="0" fontId="31" fillId="0" borderId="11" xfId="12" applyFont="1" applyBorder="1" applyAlignment="1">
      <alignment horizontal="center" vertical="center"/>
    </xf>
    <xf numFmtId="167" fontId="33" fillId="0" borderId="7" xfId="12" applyNumberFormat="1" applyFont="1" applyBorder="1" applyAlignment="1">
      <alignment horizontal="center" vertical="center" shrinkToFit="1"/>
    </xf>
    <xf numFmtId="167" fontId="33" fillId="0" borderId="8" xfId="12" applyNumberFormat="1" applyFont="1" applyBorder="1" applyAlignment="1">
      <alignment horizontal="center" vertical="center" shrinkToFit="1"/>
    </xf>
    <xf numFmtId="167" fontId="33" fillId="0" borderId="9" xfId="12" applyNumberFormat="1" applyFont="1" applyBorder="1" applyAlignment="1">
      <alignment horizontal="center" vertical="center" shrinkToFit="1"/>
    </xf>
    <xf numFmtId="0" fontId="34" fillId="0" borderId="12" xfId="12" applyFont="1" applyBorder="1" applyAlignment="1">
      <alignment horizontal="center" vertical="center" shrinkToFit="1"/>
    </xf>
    <xf numFmtId="0" fontId="34" fillId="0" borderId="13" xfId="12" applyFont="1" applyBorder="1" applyAlignment="1">
      <alignment horizontal="center" vertical="center" shrinkToFit="1"/>
    </xf>
    <xf numFmtId="0" fontId="34" fillId="0" borderId="14" xfId="12" applyFont="1" applyBorder="1" applyAlignment="1">
      <alignment horizontal="center" vertical="center" shrinkToFit="1"/>
    </xf>
    <xf numFmtId="0" fontId="35" fillId="7" borderId="15" xfId="12" applyFont="1" applyFill="1" applyBorder="1" applyAlignment="1">
      <alignment horizontal="left" vertical="center"/>
    </xf>
    <xf numFmtId="0" fontId="35" fillId="7" borderId="15" xfId="12" applyFont="1" applyFill="1" applyBorder="1" applyAlignment="1">
      <alignment vertical="center"/>
    </xf>
    <xf numFmtId="0" fontId="34" fillId="7" borderId="15" xfId="12" applyFont="1" applyFill="1" applyBorder="1" applyAlignment="1">
      <alignment vertical="center"/>
    </xf>
    <xf numFmtId="0" fontId="34" fillId="7" borderId="15" xfId="12" applyFont="1" applyFill="1" applyBorder="1" applyAlignment="1">
      <alignment horizontal="center" vertical="center"/>
    </xf>
    <xf numFmtId="168" fontId="34" fillId="7" borderId="15" xfId="12" applyNumberFormat="1" applyFont="1" applyFill="1" applyBorder="1" applyAlignment="1">
      <alignment horizontal="right" vertical="center"/>
    </xf>
    <xf numFmtId="168" fontId="34" fillId="7" borderId="15" xfId="12" applyNumberFormat="1" applyFont="1" applyFill="1" applyBorder="1" applyAlignment="1">
      <alignment horizontal="center" vertical="center"/>
    </xf>
    <xf numFmtId="1" fontId="34" fillId="7" borderId="15" xfId="14" applyNumberFormat="1" applyFont="1" applyFill="1" applyBorder="1" applyAlignment="1" applyProtection="1">
      <alignment horizontal="center" vertical="center"/>
    </xf>
    <xf numFmtId="9" fontId="34" fillId="7" borderId="15" xfId="14" applyFont="1" applyFill="1" applyBorder="1" applyAlignment="1" applyProtection="1">
      <alignment horizontal="center" vertical="center"/>
    </xf>
    <xf numFmtId="1" fontId="34" fillId="7" borderId="15" xfId="12" applyNumberFormat="1" applyFont="1" applyFill="1" applyBorder="1" applyAlignment="1">
      <alignment horizontal="center" vertical="center"/>
    </xf>
    <xf numFmtId="1" fontId="36" fillId="7" borderId="15" xfId="12" applyNumberFormat="1" applyFont="1" applyFill="1" applyBorder="1" applyAlignment="1">
      <alignment horizontal="center" vertical="center"/>
    </xf>
    <xf numFmtId="0" fontId="34" fillId="7" borderId="15" xfId="12" applyFont="1" applyFill="1" applyBorder="1" applyAlignment="1">
      <alignment horizontal="left" vertical="center"/>
    </xf>
    <xf numFmtId="0" fontId="34" fillId="7" borderId="16" xfId="12" applyFont="1" applyFill="1" applyBorder="1" applyAlignment="1">
      <alignment vertical="center"/>
    </xf>
    <xf numFmtId="0" fontId="34" fillId="0" borderId="16" xfId="12" applyFont="1" applyBorder="1" applyAlignment="1">
      <alignment horizontal="left" vertical="center"/>
    </xf>
    <xf numFmtId="0" fontId="34" fillId="0" borderId="16" xfId="12" applyFont="1" applyBorder="1" applyAlignment="1">
      <alignment vertical="center" wrapText="1"/>
    </xf>
    <xf numFmtId="0" fontId="34" fillId="0" borderId="16" xfId="12" applyFont="1" applyBorder="1" applyAlignment="1">
      <alignment vertical="center"/>
    </xf>
    <xf numFmtId="0" fontId="37" fillId="0" borderId="17" xfId="12" applyFont="1" applyBorder="1" applyAlignment="1">
      <alignment horizontal="center" vertical="center"/>
    </xf>
    <xf numFmtId="168" fontId="37" fillId="8" borderId="17" xfId="12" applyNumberFormat="1" applyFont="1" applyFill="1" applyBorder="1" applyAlignment="1">
      <alignment horizontal="center" vertical="center"/>
    </xf>
    <xf numFmtId="1" fontId="37" fillId="9" borderId="17" xfId="12" applyNumberFormat="1" applyFont="1" applyFill="1" applyBorder="1" applyAlignment="1">
      <alignment horizontal="center" vertical="center"/>
    </xf>
    <xf numFmtId="9" fontId="37" fillId="9" borderId="17" xfId="14" applyFont="1" applyFill="1" applyBorder="1" applyAlignment="1" applyProtection="1">
      <alignment horizontal="center" vertical="center"/>
    </xf>
    <xf numFmtId="1" fontId="37" fillId="0" borderId="17" xfId="12" applyNumberFormat="1" applyFont="1" applyBorder="1" applyAlignment="1">
      <alignment horizontal="center" vertical="center"/>
    </xf>
    <xf numFmtId="1" fontId="38" fillId="0" borderId="17" xfId="12" applyNumberFormat="1" applyFont="1" applyBorder="1" applyAlignment="1">
      <alignment horizontal="center" vertical="center"/>
    </xf>
    <xf numFmtId="9" fontId="34" fillId="0" borderId="16" xfId="12" applyNumberFormat="1" applyFont="1" applyBorder="1" applyAlignment="1">
      <alignment horizontal="left" vertical="center"/>
    </xf>
    <xf numFmtId="0" fontId="34" fillId="2" borderId="16" xfId="12" applyFont="1" applyFill="1" applyBorder="1" applyAlignment="1">
      <alignment horizontal="left" vertical="center"/>
    </xf>
    <xf numFmtId="0" fontId="34" fillId="2" borderId="16" xfId="12" applyFont="1" applyFill="1" applyBorder="1" applyAlignment="1">
      <alignment vertical="center" wrapText="1"/>
    </xf>
    <xf numFmtId="0" fontId="34" fillId="2" borderId="16" xfId="12" applyFont="1" applyFill="1" applyBorder="1" applyAlignment="1">
      <alignment vertical="center"/>
    </xf>
    <xf numFmtId="0" fontId="37" fillId="2" borderId="17" xfId="12" applyFont="1" applyFill="1" applyBorder="1" applyAlignment="1">
      <alignment horizontal="center" vertical="center"/>
    </xf>
    <xf numFmtId="1" fontId="37" fillId="2" borderId="17" xfId="12" applyNumberFormat="1" applyFont="1" applyFill="1" applyBorder="1" applyAlignment="1">
      <alignment horizontal="center" vertical="center"/>
    </xf>
    <xf numFmtId="9" fontId="37" fillId="2" borderId="17" xfId="14" applyFont="1" applyFill="1" applyBorder="1" applyAlignment="1" applyProtection="1">
      <alignment horizontal="center" vertical="center"/>
    </xf>
    <xf numFmtId="1" fontId="38" fillId="2" borderId="17" xfId="12" applyNumberFormat="1" applyFont="1" applyFill="1" applyBorder="1" applyAlignment="1">
      <alignment horizontal="center" vertical="center"/>
    </xf>
    <xf numFmtId="0" fontId="35" fillId="7" borderId="16" xfId="12" applyFont="1" applyFill="1" applyBorder="1" applyAlignment="1">
      <alignment horizontal="left" vertical="center"/>
    </xf>
    <xf numFmtId="0" fontId="35" fillId="7" borderId="16" xfId="12" applyFont="1" applyFill="1" applyBorder="1" applyAlignment="1">
      <alignment vertical="center"/>
    </xf>
    <xf numFmtId="0" fontId="34" fillId="7" borderId="16" xfId="12" applyFont="1" applyFill="1" applyBorder="1" applyAlignment="1">
      <alignment horizontal="center" vertical="center"/>
    </xf>
    <xf numFmtId="1" fontId="34" fillId="7" borderId="16" xfId="14" applyNumberFormat="1" applyFont="1" applyFill="1" applyBorder="1" applyAlignment="1" applyProtection="1">
      <alignment horizontal="center" vertical="center"/>
    </xf>
    <xf numFmtId="9" fontId="34" fillId="7" borderId="16" xfId="14" applyFont="1" applyFill="1" applyBorder="1" applyAlignment="1" applyProtection="1">
      <alignment horizontal="center" vertical="center"/>
    </xf>
    <xf numFmtId="1" fontId="34" fillId="7" borderId="16" xfId="12" applyNumberFormat="1" applyFont="1" applyFill="1" applyBorder="1" applyAlignment="1">
      <alignment horizontal="center" vertical="center"/>
    </xf>
    <xf numFmtId="1" fontId="36" fillId="7" borderId="16" xfId="12" applyNumberFormat="1" applyFont="1" applyFill="1" applyBorder="1" applyAlignment="1">
      <alignment horizontal="center" vertical="center"/>
    </xf>
    <xf numFmtId="0" fontId="34" fillId="7" borderId="16" xfId="12" applyFont="1" applyFill="1" applyBorder="1" applyAlignment="1">
      <alignment horizontal="left" vertical="center"/>
    </xf>
    <xf numFmtId="0" fontId="37" fillId="0" borderId="0" xfId="12" applyFont="1" applyAlignment="1">
      <alignment horizontal="center" vertical="center"/>
    </xf>
    <xf numFmtId="1" fontId="37" fillId="9" borderId="0" xfId="12" applyNumberFormat="1" applyFont="1" applyFill="1" applyAlignment="1">
      <alignment horizontal="center" vertical="center"/>
    </xf>
    <xf numFmtId="1" fontId="37" fillId="0" borderId="0" xfId="12" applyNumberFormat="1" applyFont="1" applyAlignment="1">
      <alignment horizontal="center" vertical="center"/>
    </xf>
    <xf numFmtId="1" fontId="38" fillId="0" borderId="0" xfId="12" applyNumberFormat="1" applyFont="1" applyAlignment="1">
      <alignment horizontal="center" vertical="center"/>
    </xf>
    <xf numFmtId="0" fontId="39" fillId="0" borderId="16" xfId="12" applyFont="1" applyBorder="1" applyAlignment="1">
      <alignment vertical="center"/>
    </xf>
    <xf numFmtId="0" fontId="34" fillId="0" borderId="16" xfId="12" applyFont="1" applyBorder="1" applyAlignment="1">
      <alignment horizontal="center" vertical="center"/>
    </xf>
    <xf numFmtId="1" fontId="34" fillId="0" borderId="16" xfId="14" applyNumberFormat="1" applyFont="1" applyFill="1" applyBorder="1" applyAlignment="1" applyProtection="1">
      <alignment horizontal="center" vertical="center"/>
    </xf>
    <xf numFmtId="9" fontId="34" fillId="0" borderId="16" xfId="14" applyFont="1" applyFill="1" applyBorder="1" applyAlignment="1" applyProtection="1">
      <alignment horizontal="center" vertical="center"/>
    </xf>
    <xf numFmtId="1" fontId="34" fillId="0" borderId="16" xfId="12" applyNumberFormat="1" applyFont="1" applyBorder="1" applyAlignment="1">
      <alignment horizontal="center" vertical="center"/>
    </xf>
    <xf numFmtId="1" fontId="36" fillId="0" borderId="16" xfId="12" applyNumberFormat="1" applyFont="1" applyBorder="1" applyAlignment="1">
      <alignment horizontal="center" vertical="center"/>
    </xf>
    <xf numFmtId="0" fontId="34" fillId="0" borderId="0" xfId="12" applyFont="1" applyAlignment="1">
      <alignment vertical="center"/>
    </xf>
    <xf numFmtId="0" fontId="40" fillId="11" borderId="0" xfId="12" applyFont="1" applyFill="1" applyAlignment="1">
      <alignment vertical="center"/>
    </xf>
    <xf numFmtId="0" fontId="28" fillId="7" borderId="0" xfId="12" applyFont="1" applyFill="1" applyAlignment="1">
      <alignment vertical="center"/>
    </xf>
    <xf numFmtId="0" fontId="41" fillId="11" borderId="0" xfId="12" applyFont="1" applyFill="1" applyAlignment="1">
      <alignment vertical="center"/>
    </xf>
    <xf numFmtId="0" fontId="42" fillId="7" borderId="0" xfId="12" applyFont="1" applyFill="1" applyAlignment="1">
      <alignment vertical="center"/>
    </xf>
    <xf numFmtId="0" fontId="36" fillId="7" borderId="0" xfId="12" applyFont="1" applyFill="1" applyAlignment="1">
      <alignment vertical="center"/>
    </xf>
    <xf numFmtId="0" fontId="42" fillId="0" borderId="0" xfId="12" applyFont="1" applyAlignment="1">
      <alignment vertical="center"/>
    </xf>
    <xf numFmtId="0" fontId="37" fillId="11" borderId="0" xfId="12" applyFont="1" applyFill="1" applyAlignment="1">
      <alignment vertical="center"/>
    </xf>
    <xf numFmtId="0" fontId="34" fillId="7" borderId="0" xfId="12" applyFont="1" applyFill="1" applyAlignment="1">
      <alignment vertical="center"/>
    </xf>
    <xf numFmtId="0" fontId="35" fillId="0" borderId="16" xfId="12" applyFont="1" applyBorder="1" applyAlignment="1">
      <alignment horizontal="left" vertical="center"/>
    </xf>
    <xf numFmtId="0" fontId="43" fillId="12" borderId="18" xfId="12" applyFont="1" applyFill="1" applyBorder="1" applyAlignment="1">
      <alignment vertical="center"/>
    </xf>
    <xf numFmtId="0" fontId="37" fillId="12" borderId="18" xfId="12" applyFont="1" applyFill="1" applyBorder="1" applyAlignment="1">
      <alignment vertical="center"/>
    </xf>
    <xf numFmtId="0" fontId="37" fillId="0" borderId="17" xfId="12" quotePrefix="1" applyFont="1" applyBorder="1" applyAlignment="1">
      <alignment horizontal="center" vertical="center"/>
    </xf>
    <xf numFmtId="0" fontId="37" fillId="0" borderId="17" xfId="12" applyFont="1" applyBorder="1" applyAlignment="1">
      <alignment vertical="center"/>
    </xf>
    <xf numFmtId="0" fontId="37" fillId="0" borderId="17" xfId="12" applyFont="1" applyBorder="1" applyAlignment="1">
      <alignment horizontal="left" vertical="center"/>
    </xf>
    <xf numFmtId="0" fontId="19" fillId="0" borderId="0" xfId="13" applyNumberFormat="1" applyFill="1" applyBorder="1" applyAlignment="1" applyProtection="1"/>
    <xf numFmtId="0" fontId="14" fillId="0" borderId="0" xfId="12" applyProtection="1">
      <protection locked="0"/>
    </xf>
    <xf numFmtId="168" fontId="37" fillId="8" borderId="0" xfId="12" applyNumberFormat="1" applyFont="1" applyFill="1" applyAlignment="1">
      <alignment horizontal="center" vertical="center"/>
    </xf>
    <xf numFmtId="169" fontId="37" fillId="0" borderId="17" xfId="12" applyNumberFormat="1" applyFont="1" applyBorder="1" applyAlignment="1">
      <alignment horizontal="center" vertical="center"/>
    </xf>
    <xf numFmtId="169" fontId="37" fillId="2" borderId="17" xfId="12" applyNumberFormat="1" applyFont="1" applyFill="1" applyBorder="1" applyAlignment="1">
      <alignment horizontal="center" vertical="center"/>
    </xf>
    <xf numFmtId="169" fontId="34" fillId="7" borderId="16" xfId="12" applyNumberFormat="1" applyFont="1" applyFill="1" applyBorder="1" applyAlignment="1">
      <alignment horizontal="center" vertical="center"/>
    </xf>
    <xf numFmtId="169" fontId="37" fillId="0" borderId="0" xfId="12" applyNumberFormat="1" applyFont="1" applyAlignment="1">
      <alignment horizontal="center" vertical="center"/>
    </xf>
    <xf numFmtId="170" fontId="37" fillId="8" borderId="17" xfId="12" applyNumberFormat="1" applyFont="1" applyFill="1" applyBorder="1" applyAlignment="1">
      <alignment horizontal="center" vertical="center"/>
    </xf>
    <xf numFmtId="171" fontId="37" fillId="8" borderId="17" xfId="12" applyNumberFormat="1" applyFont="1" applyFill="1" applyBorder="1" applyAlignment="1">
      <alignment horizontal="center" vertical="center"/>
    </xf>
    <xf numFmtId="171" fontId="37" fillId="10" borderId="17" xfId="12" applyNumberFormat="1" applyFont="1" applyFill="1" applyBorder="1" applyAlignment="1">
      <alignment horizontal="center" vertical="center"/>
    </xf>
    <xf numFmtId="171" fontId="34" fillId="7" borderId="16" xfId="12" applyNumberFormat="1" applyFont="1" applyFill="1" applyBorder="1" applyAlignment="1">
      <alignment horizontal="center" vertical="center"/>
    </xf>
    <xf numFmtId="171" fontId="37" fillId="8" borderId="0" xfId="12" applyNumberFormat="1" applyFont="1" applyFill="1" applyAlignment="1">
      <alignment horizontal="center" vertical="center"/>
    </xf>
    <xf numFmtId="166" fontId="28" fillId="0" borderId="7" xfId="12" applyNumberFormat="1" applyFont="1" applyBorder="1" applyAlignment="1">
      <alignment horizontal="center" vertical="center"/>
    </xf>
    <xf numFmtId="166" fontId="28" fillId="0" borderId="8" xfId="12" applyNumberFormat="1" applyFont="1" applyBorder="1" applyAlignment="1">
      <alignment horizontal="center" vertical="center"/>
    </xf>
    <xf numFmtId="166" fontId="28" fillId="0" borderId="9" xfId="12" applyNumberFormat="1" applyFont="1" applyBorder="1" applyAlignment="1">
      <alignment horizontal="center" vertical="center"/>
    </xf>
    <xf numFmtId="0" fontId="30" fillId="0" borderId="7" xfId="12" applyFont="1" applyBorder="1" applyAlignment="1">
      <alignment horizontal="center" vertical="center"/>
    </xf>
    <xf numFmtId="0" fontId="30" fillId="0" borderId="8" xfId="12" applyFont="1" applyBorder="1" applyAlignment="1">
      <alignment horizontal="center" vertical="center"/>
    </xf>
    <xf numFmtId="0" fontId="30" fillId="0" borderId="9" xfId="12" applyFont="1" applyBorder="1" applyAlignment="1">
      <alignment horizontal="center" vertical="center"/>
    </xf>
    <xf numFmtId="165" fontId="28" fillId="0" borderId="10" xfId="12" applyNumberFormat="1" applyFont="1" applyBorder="1" applyAlignment="1" applyProtection="1">
      <alignment horizontal="center" vertical="center" shrinkToFit="1"/>
      <protection locked="0"/>
    </xf>
    <xf numFmtId="0" fontId="20" fillId="0" borderId="0" xfId="13" applyFont="1" applyBorder="1" applyAlignment="1" applyProtection="1">
      <alignment horizontal="left" vertical="center"/>
    </xf>
    <xf numFmtId="0" fontId="21" fillId="0" borderId="0" xfId="13" applyFont="1" applyBorder="1" applyAlignment="1" applyProtection="1">
      <alignment horizontal="left" vertical="center"/>
    </xf>
    <xf numFmtId="165" fontId="28" fillId="0" borderId="6" xfId="12" applyNumberFormat="1" applyFont="1" applyBorder="1" applyAlignment="1" applyProtection="1">
      <alignment horizontal="center" vertical="center" shrinkToFit="1"/>
      <protection locked="0"/>
    </xf>
  </cellXfs>
  <cellStyles count="15">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0" builtinId="8"/>
    <cellStyle name="Hyperlink 2" xfId="13" xr:uid="{F2CBBD51-DC94-4229-88EC-A28E9E4B1088}"/>
    <cellStyle name="Normal" xfId="0" builtinId="0"/>
    <cellStyle name="Normal 2" xfId="9" xr:uid="{00000000-0005-0000-0000-00000A000000}"/>
    <cellStyle name="Normal 3" xfId="11" xr:uid="{B692E8DD-D259-4D7E-BCF0-96F1A224FC9A}"/>
    <cellStyle name="Normal 4" xfId="12" xr:uid="{5921A0F1-997C-43DB-BD83-F2E84769C7D5}"/>
    <cellStyle name="Percent 2" xfId="14" xr:uid="{FD2666B6-2771-4E0C-B850-A75F8E4FFBF0}"/>
  </cellStyles>
  <dxfs count="4">
    <dxf>
      <border>
        <left style="thin">
          <color rgb="FFC00000"/>
        </left>
        <right style="thin">
          <color rgb="FFC00000"/>
        </right>
        <vertical/>
        <horizontal/>
      </border>
    </dxf>
    <dxf>
      <font>
        <color theme="0"/>
      </font>
      <fill>
        <patternFill>
          <bgColor theme="5"/>
        </patternFill>
      </fill>
    </dxf>
    <dxf>
      <fill>
        <patternFill>
          <bgColor theme="0" tint="-0.499984740745262"/>
        </patternFill>
      </fill>
    </dxf>
    <dxf>
      <fill>
        <patternFill>
          <bgColor rgb="FF00B05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trlProps/ctrlProp1.xml><?xml version="1.0" encoding="utf-8"?>
<formControlPr xmlns="http://schemas.microsoft.com/office/spreadsheetml/2009/9/main" objectType="Scroll" dx="22" fmlaLink="$H$5" horiz="1" max="100" min="1" page="0" val="23"/>
</file>

<file path=xl/drawings/drawing1.xml><?xml version="1.0" encoding="utf-8"?>
<xdr:wsDr xmlns:xdr="http://schemas.openxmlformats.org/drawingml/2006/spreadsheetDrawing" xmlns:a="http://schemas.openxmlformats.org/drawingml/2006/main">
  <xdr:twoCellAnchor editAs="absolute">
    <xdr:from>
      <xdr:col>5</xdr:col>
      <xdr:colOff>127301</xdr:colOff>
      <xdr:row>6</xdr:row>
      <xdr:rowOff>20568</xdr:rowOff>
    </xdr:from>
    <xdr:to>
      <xdr:col>12</xdr:col>
      <xdr:colOff>165518</xdr:colOff>
      <xdr:row>11</xdr:row>
      <xdr:rowOff>184104</xdr:rowOff>
    </xdr:to>
    <xdr:sp macro="" textlink="">
      <xdr:nvSpPr>
        <xdr:cNvPr id="2" name="Text Box 44" hidden="1">
          <a:extLst>
            <a:ext uri="{FF2B5EF4-FFF2-40B4-BE49-F238E27FC236}">
              <a16:creationId xmlns:a16="http://schemas.microsoft.com/office/drawing/2014/main" id="{00000000-0008-0000-0100-000002000000}"/>
            </a:ext>
          </a:extLst>
        </xdr:cNvPr>
        <xdr:cNvSpPr txBox="1">
          <a:spLocks noChangeArrowheads="1"/>
        </xdr:cNvSpPr>
      </xdr:nvSpPr>
      <xdr:spPr bwMode="auto">
        <a:xfrm>
          <a:off x="5159676" y="1366768"/>
          <a:ext cx="3575167" cy="1176361"/>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2</xdr:row>
          <xdr:rowOff>127000</xdr:rowOff>
        </xdr:from>
        <xdr:to>
          <xdr:col>25</xdr:col>
          <xdr:colOff>146050</xdr:colOff>
          <xdr:row>3</xdr:row>
          <xdr:rowOff>114300</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xdr:col>
      <xdr:colOff>1066800</xdr:colOff>
      <xdr:row>5</xdr:row>
      <xdr:rowOff>53460</xdr:rowOff>
    </xdr:from>
    <xdr:to>
      <xdr:col>4</xdr:col>
      <xdr:colOff>1066800</xdr:colOff>
      <xdr:row>6</xdr:row>
      <xdr:rowOff>205860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7493000" y="171716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1795720</xdr:colOff>
      <xdr:row>6</xdr:row>
      <xdr:rowOff>203200</xdr:rowOff>
    </xdr:from>
    <xdr:to>
      <xdr:col>7</xdr:col>
      <xdr:colOff>355895</xdr:colOff>
      <xdr:row>6</xdr:row>
      <xdr:rowOff>203200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049720" y="2095500"/>
          <a:ext cx="10904575" cy="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1806575</xdr:colOff>
      <xdr:row>6</xdr:row>
      <xdr:rowOff>190500</xdr:rowOff>
    </xdr:from>
    <xdr:to>
      <xdr:col>1</xdr:col>
      <xdr:colOff>1806575</xdr:colOff>
      <xdr:row>8</xdr:row>
      <xdr:rowOff>114300</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2060575" y="20828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711200</xdr:colOff>
      <xdr:row>10</xdr:row>
      <xdr:rowOff>68820</xdr:rowOff>
    </xdr:from>
    <xdr:to>
      <xdr:col>1</xdr:col>
      <xdr:colOff>711200</xdr:colOff>
      <xdr:row>11</xdr:row>
      <xdr:rowOff>223529</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9652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1806575</xdr:colOff>
      <xdr:row>10</xdr:row>
      <xdr:rowOff>68820</xdr:rowOff>
    </xdr:from>
    <xdr:to>
      <xdr:col>1</xdr:col>
      <xdr:colOff>1806575</xdr:colOff>
      <xdr:row>11</xdr:row>
      <xdr:rowOff>223529</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2060575"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825500</xdr:colOff>
      <xdr:row>10</xdr:row>
      <xdr:rowOff>68820</xdr:rowOff>
    </xdr:from>
    <xdr:to>
      <xdr:col>2</xdr:col>
      <xdr:colOff>825500</xdr:colOff>
      <xdr:row>11</xdr:row>
      <xdr:rowOff>223529</xdr:rowOff>
    </xdr:to>
    <xdr:cxnSp macro="">
      <xdr:nvCxnSpPr>
        <xdr:cNvPr id="7" name="Straight Connector 6">
          <a:extLst>
            <a:ext uri="{FF2B5EF4-FFF2-40B4-BE49-F238E27FC236}">
              <a16:creationId xmlns:a16="http://schemas.microsoft.com/office/drawing/2014/main" id="{00000000-0008-0000-0000-000007000000}"/>
            </a:ext>
          </a:extLst>
        </xdr:cNvPr>
        <xdr:cNvCxnSpPr/>
      </xdr:nvCxnSpPr>
      <xdr:spPr>
        <a:xfrm>
          <a:off x="31369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1806575</xdr:colOff>
      <xdr:row>8</xdr:row>
      <xdr:rowOff>165100</xdr:rowOff>
    </xdr:from>
    <xdr:to>
      <xdr:col>1</xdr:col>
      <xdr:colOff>1806575</xdr:colOff>
      <xdr:row>10</xdr:row>
      <xdr:rowOff>88900</xdr:rowOff>
    </xdr:to>
    <xdr:cxnSp macro="">
      <xdr:nvCxnSpPr>
        <xdr:cNvPr id="8" name="Straight Connector 7">
          <a:extLst>
            <a:ext uri="{FF2B5EF4-FFF2-40B4-BE49-F238E27FC236}">
              <a16:creationId xmlns:a16="http://schemas.microsoft.com/office/drawing/2014/main" id="{00000000-0008-0000-0000-000008000000}"/>
            </a:ext>
          </a:extLst>
        </xdr:cNvPr>
        <xdr:cNvCxnSpPr/>
      </xdr:nvCxnSpPr>
      <xdr:spPr>
        <a:xfrm>
          <a:off x="2060575" y="25146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1806575</xdr:colOff>
      <xdr:row>12</xdr:row>
      <xdr:rowOff>177800</xdr:rowOff>
    </xdr:from>
    <xdr:to>
      <xdr:col>1</xdr:col>
      <xdr:colOff>1806575</xdr:colOff>
      <xdr:row>15</xdr:row>
      <xdr:rowOff>177800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20605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828675</xdr:colOff>
      <xdr:row>12</xdr:row>
      <xdr:rowOff>177800</xdr:rowOff>
    </xdr:from>
    <xdr:to>
      <xdr:col>2</xdr:col>
      <xdr:colOff>828675</xdr:colOff>
      <xdr:row>15</xdr:row>
      <xdr:rowOff>177800</xdr:rowOff>
    </xdr:to>
    <xdr:cxnSp macro="">
      <xdr:nvCxnSpPr>
        <xdr:cNvPr id="10" name="Straight Connector 9">
          <a:extLst>
            <a:ext uri="{FF2B5EF4-FFF2-40B4-BE49-F238E27FC236}">
              <a16:creationId xmlns:a16="http://schemas.microsoft.com/office/drawing/2014/main" id="{00000000-0008-0000-0000-00000A000000}"/>
            </a:ext>
          </a:extLst>
        </xdr:cNvPr>
        <xdr:cNvCxnSpPr/>
      </xdr:nvCxnSpPr>
      <xdr:spPr>
        <a:xfrm>
          <a:off x="31400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714375</xdr:colOff>
      <xdr:row>12</xdr:row>
      <xdr:rowOff>177800</xdr:rowOff>
    </xdr:from>
    <xdr:to>
      <xdr:col>1</xdr:col>
      <xdr:colOff>714375</xdr:colOff>
      <xdr:row>15</xdr:row>
      <xdr:rowOff>177800</xdr:rowOff>
    </xdr:to>
    <xdr:cxnSp macro="">
      <xdr:nvCxnSpPr>
        <xdr:cNvPr id="11" name="Straight Connector 10">
          <a:extLst>
            <a:ext uri="{FF2B5EF4-FFF2-40B4-BE49-F238E27FC236}">
              <a16:creationId xmlns:a16="http://schemas.microsoft.com/office/drawing/2014/main" id="{00000000-0008-0000-0000-00000B000000}"/>
            </a:ext>
          </a:extLst>
        </xdr:cNvPr>
        <xdr:cNvCxnSpPr/>
      </xdr:nvCxnSpPr>
      <xdr:spPr>
        <a:xfrm>
          <a:off x="9683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703519</xdr:colOff>
      <xdr:row>10</xdr:row>
      <xdr:rowOff>63500</xdr:rowOff>
    </xdr:from>
    <xdr:to>
      <xdr:col>2</xdr:col>
      <xdr:colOff>830832</xdr:colOff>
      <xdr:row>10</xdr:row>
      <xdr:rowOff>63500</xdr:rowOff>
    </xdr:to>
    <xdr:cxnSp macro="">
      <xdr:nvCxnSpPr>
        <xdr:cNvPr id="12" name="Straight Connector 11">
          <a:extLst>
            <a:ext uri="{FF2B5EF4-FFF2-40B4-BE49-F238E27FC236}">
              <a16:creationId xmlns:a16="http://schemas.microsoft.com/office/drawing/2014/main" id="{00000000-0008-0000-0000-00000C000000}"/>
            </a:ext>
          </a:extLst>
        </xdr:cNvPr>
        <xdr:cNvCxnSpPr/>
      </xdr:nvCxnSpPr>
      <xdr:spPr>
        <a:xfrm>
          <a:off x="957519" y="2870200"/>
          <a:ext cx="2184713" cy="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1298575</xdr:colOff>
      <xdr:row>6</xdr:row>
      <xdr:rowOff>190500</xdr:rowOff>
    </xdr:from>
    <xdr:to>
      <xdr:col>3</xdr:col>
      <xdr:colOff>1298575</xdr:colOff>
      <xdr:row>8</xdr:row>
      <xdr:rowOff>114300</xdr:rowOff>
    </xdr:to>
    <xdr:cxnSp macro="">
      <xdr:nvCxnSpPr>
        <xdr:cNvPr id="13" name="Straight Connector 12">
          <a:extLst>
            <a:ext uri="{FF2B5EF4-FFF2-40B4-BE49-F238E27FC236}">
              <a16:creationId xmlns:a16="http://schemas.microsoft.com/office/drawing/2014/main" id="{00000000-0008-0000-0000-00000D000000}"/>
            </a:ext>
          </a:extLst>
        </xdr:cNvPr>
        <xdr:cNvCxnSpPr/>
      </xdr:nvCxnSpPr>
      <xdr:spPr>
        <a:xfrm>
          <a:off x="5667375" y="20828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203200</xdr:colOff>
      <xdr:row>10</xdr:row>
      <xdr:rowOff>68820</xdr:rowOff>
    </xdr:from>
    <xdr:to>
      <xdr:col>3</xdr:col>
      <xdr:colOff>203200</xdr:colOff>
      <xdr:row>11</xdr:row>
      <xdr:rowOff>223529</xdr:rowOff>
    </xdr:to>
    <xdr:cxnSp macro="">
      <xdr:nvCxnSpPr>
        <xdr:cNvPr id="14" name="Straight Connector 13">
          <a:extLst>
            <a:ext uri="{FF2B5EF4-FFF2-40B4-BE49-F238E27FC236}">
              <a16:creationId xmlns:a16="http://schemas.microsoft.com/office/drawing/2014/main" id="{00000000-0008-0000-0000-00000E000000}"/>
            </a:ext>
          </a:extLst>
        </xdr:cNvPr>
        <xdr:cNvCxnSpPr/>
      </xdr:nvCxnSpPr>
      <xdr:spPr>
        <a:xfrm>
          <a:off x="45720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1298575</xdr:colOff>
      <xdr:row>10</xdr:row>
      <xdr:rowOff>68820</xdr:rowOff>
    </xdr:from>
    <xdr:to>
      <xdr:col>3</xdr:col>
      <xdr:colOff>1298575</xdr:colOff>
      <xdr:row>11</xdr:row>
      <xdr:rowOff>223529</xdr:rowOff>
    </xdr:to>
    <xdr:cxnSp macro="">
      <xdr:nvCxnSpPr>
        <xdr:cNvPr id="15" name="Straight Connector 14">
          <a:extLst>
            <a:ext uri="{FF2B5EF4-FFF2-40B4-BE49-F238E27FC236}">
              <a16:creationId xmlns:a16="http://schemas.microsoft.com/office/drawing/2014/main" id="{00000000-0008-0000-0000-00000F000000}"/>
            </a:ext>
          </a:extLst>
        </xdr:cNvPr>
        <xdr:cNvCxnSpPr/>
      </xdr:nvCxnSpPr>
      <xdr:spPr>
        <a:xfrm>
          <a:off x="5667375"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317500</xdr:colOff>
      <xdr:row>10</xdr:row>
      <xdr:rowOff>68820</xdr:rowOff>
    </xdr:from>
    <xdr:to>
      <xdr:col>4</xdr:col>
      <xdr:colOff>317500</xdr:colOff>
      <xdr:row>11</xdr:row>
      <xdr:rowOff>223529</xdr:rowOff>
    </xdr:to>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a:off x="67437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1298575</xdr:colOff>
      <xdr:row>8</xdr:row>
      <xdr:rowOff>165100</xdr:rowOff>
    </xdr:from>
    <xdr:to>
      <xdr:col>3</xdr:col>
      <xdr:colOff>1298575</xdr:colOff>
      <xdr:row>10</xdr:row>
      <xdr:rowOff>88900</xdr:rowOff>
    </xdr:to>
    <xdr:cxnSp macro="">
      <xdr:nvCxnSpPr>
        <xdr:cNvPr id="17" name="Straight Connector 16">
          <a:extLst>
            <a:ext uri="{FF2B5EF4-FFF2-40B4-BE49-F238E27FC236}">
              <a16:creationId xmlns:a16="http://schemas.microsoft.com/office/drawing/2014/main" id="{00000000-0008-0000-0000-000011000000}"/>
            </a:ext>
          </a:extLst>
        </xdr:cNvPr>
        <xdr:cNvCxnSpPr/>
      </xdr:nvCxnSpPr>
      <xdr:spPr>
        <a:xfrm>
          <a:off x="5667375" y="25146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1298575</xdr:colOff>
      <xdr:row>12</xdr:row>
      <xdr:rowOff>177800</xdr:rowOff>
    </xdr:from>
    <xdr:to>
      <xdr:col>3</xdr:col>
      <xdr:colOff>1298575</xdr:colOff>
      <xdr:row>15</xdr:row>
      <xdr:rowOff>177800</xdr:rowOff>
    </xdr:to>
    <xdr:cxnSp macro="">
      <xdr:nvCxnSpPr>
        <xdr:cNvPr id="18" name="Straight Connector 17">
          <a:extLst>
            <a:ext uri="{FF2B5EF4-FFF2-40B4-BE49-F238E27FC236}">
              <a16:creationId xmlns:a16="http://schemas.microsoft.com/office/drawing/2014/main" id="{00000000-0008-0000-0000-000012000000}"/>
            </a:ext>
          </a:extLst>
        </xdr:cNvPr>
        <xdr:cNvCxnSpPr/>
      </xdr:nvCxnSpPr>
      <xdr:spPr>
        <a:xfrm>
          <a:off x="56673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320675</xdr:colOff>
      <xdr:row>12</xdr:row>
      <xdr:rowOff>177800</xdr:rowOff>
    </xdr:from>
    <xdr:to>
      <xdr:col>4</xdr:col>
      <xdr:colOff>320675</xdr:colOff>
      <xdr:row>15</xdr:row>
      <xdr:rowOff>177800</xdr:rowOff>
    </xdr:to>
    <xdr:cxnSp macro="">
      <xdr:nvCxnSpPr>
        <xdr:cNvPr id="19" name="Straight Connector 18">
          <a:extLst>
            <a:ext uri="{FF2B5EF4-FFF2-40B4-BE49-F238E27FC236}">
              <a16:creationId xmlns:a16="http://schemas.microsoft.com/office/drawing/2014/main" id="{00000000-0008-0000-0000-000013000000}"/>
            </a:ext>
          </a:extLst>
        </xdr:cNvPr>
        <xdr:cNvCxnSpPr/>
      </xdr:nvCxnSpPr>
      <xdr:spPr>
        <a:xfrm>
          <a:off x="67468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206375</xdr:colOff>
      <xdr:row>12</xdr:row>
      <xdr:rowOff>177800</xdr:rowOff>
    </xdr:from>
    <xdr:to>
      <xdr:col>3</xdr:col>
      <xdr:colOff>206375</xdr:colOff>
      <xdr:row>15</xdr:row>
      <xdr:rowOff>177800</xdr:rowOff>
    </xdr:to>
    <xdr:cxnSp macro="">
      <xdr:nvCxnSpPr>
        <xdr:cNvPr id="20" name="Straight Connector 19">
          <a:extLst>
            <a:ext uri="{FF2B5EF4-FFF2-40B4-BE49-F238E27FC236}">
              <a16:creationId xmlns:a16="http://schemas.microsoft.com/office/drawing/2014/main" id="{00000000-0008-0000-0000-000014000000}"/>
            </a:ext>
          </a:extLst>
        </xdr:cNvPr>
        <xdr:cNvCxnSpPr/>
      </xdr:nvCxnSpPr>
      <xdr:spPr>
        <a:xfrm>
          <a:off x="45751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10</xdr:row>
      <xdr:rowOff>63500</xdr:rowOff>
    </xdr:from>
    <xdr:to>
      <xdr:col>4</xdr:col>
      <xdr:colOff>317814</xdr:colOff>
      <xdr:row>10</xdr:row>
      <xdr:rowOff>63500</xdr:rowOff>
    </xdr:to>
    <xdr:cxnSp macro="">
      <xdr:nvCxnSpPr>
        <xdr:cNvPr id="21" name="Straight Connector 20">
          <a:extLst>
            <a:ext uri="{FF2B5EF4-FFF2-40B4-BE49-F238E27FC236}">
              <a16:creationId xmlns:a16="http://schemas.microsoft.com/office/drawing/2014/main" id="{00000000-0008-0000-0000-000015000000}"/>
            </a:ext>
          </a:extLst>
        </xdr:cNvPr>
        <xdr:cNvCxnSpPr/>
      </xdr:nvCxnSpPr>
      <xdr:spPr>
        <a:xfrm>
          <a:off x="4559300" y="2870200"/>
          <a:ext cx="2184714" cy="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790575</xdr:colOff>
      <xdr:row>6</xdr:row>
      <xdr:rowOff>190500</xdr:rowOff>
    </xdr:from>
    <xdr:to>
      <xdr:col>5</xdr:col>
      <xdr:colOff>790575</xdr:colOff>
      <xdr:row>8</xdr:row>
      <xdr:rowOff>114300</xdr:rowOff>
    </xdr:to>
    <xdr:cxnSp macro="">
      <xdr:nvCxnSpPr>
        <xdr:cNvPr id="22" name="Straight Connector 21">
          <a:extLst>
            <a:ext uri="{FF2B5EF4-FFF2-40B4-BE49-F238E27FC236}">
              <a16:creationId xmlns:a16="http://schemas.microsoft.com/office/drawing/2014/main" id="{00000000-0008-0000-0000-000016000000}"/>
            </a:ext>
          </a:extLst>
        </xdr:cNvPr>
        <xdr:cNvCxnSpPr/>
      </xdr:nvCxnSpPr>
      <xdr:spPr>
        <a:xfrm>
          <a:off x="9274175" y="20828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1752600</xdr:colOff>
      <xdr:row>10</xdr:row>
      <xdr:rowOff>68820</xdr:rowOff>
    </xdr:from>
    <xdr:to>
      <xdr:col>4</xdr:col>
      <xdr:colOff>1752600</xdr:colOff>
      <xdr:row>11</xdr:row>
      <xdr:rowOff>223529</xdr:rowOff>
    </xdr:to>
    <xdr:cxnSp macro="">
      <xdr:nvCxnSpPr>
        <xdr:cNvPr id="23" name="Straight Connector 22">
          <a:extLst>
            <a:ext uri="{FF2B5EF4-FFF2-40B4-BE49-F238E27FC236}">
              <a16:creationId xmlns:a16="http://schemas.microsoft.com/office/drawing/2014/main" id="{00000000-0008-0000-0000-000017000000}"/>
            </a:ext>
          </a:extLst>
        </xdr:cNvPr>
        <xdr:cNvCxnSpPr/>
      </xdr:nvCxnSpPr>
      <xdr:spPr>
        <a:xfrm>
          <a:off x="81788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790575</xdr:colOff>
      <xdr:row>10</xdr:row>
      <xdr:rowOff>68820</xdr:rowOff>
    </xdr:from>
    <xdr:to>
      <xdr:col>5</xdr:col>
      <xdr:colOff>790575</xdr:colOff>
      <xdr:row>11</xdr:row>
      <xdr:rowOff>223529</xdr:rowOff>
    </xdr:to>
    <xdr:cxnSp macro="">
      <xdr:nvCxnSpPr>
        <xdr:cNvPr id="24" name="Straight Connector 23">
          <a:extLst>
            <a:ext uri="{FF2B5EF4-FFF2-40B4-BE49-F238E27FC236}">
              <a16:creationId xmlns:a16="http://schemas.microsoft.com/office/drawing/2014/main" id="{00000000-0008-0000-0000-000018000000}"/>
            </a:ext>
          </a:extLst>
        </xdr:cNvPr>
        <xdr:cNvCxnSpPr/>
      </xdr:nvCxnSpPr>
      <xdr:spPr>
        <a:xfrm>
          <a:off x="9274175"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1866900</xdr:colOff>
      <xdr:row>10</xdr:row>
      <xdr:rowOff>68820</xdr:rowOff>
    </xdr:from>
    <xdr:to>
      <xdr:col>5</xdr:col>
      <xdr:colOff>1866900</xdr:colOff>
      <xdr:row>11</xdr:row>
      <xdr:rowOff>223529</xdr:rowOff>
    </xdr:to>
    <xdr:cxnSp macro="">
      <xdr:nvCxnSpPr>
        <xdr:cNvPr id="25" name="Straight Connector 24">
          <a:extLst>
            <a:ext uri="{FF2B5EF4-FFF2-40B4-BE49-F238E27FC236}">
              <a16:creationId xmlns:a16="http://schemas.microsoft.com/office/drawing/2014/main" id="{00000000-0008-0000-0000-000019000000}"/>
            </a:ext>
          </a:extLst>
        </xdr:cNvPr>
        <xdr:cNvCxnSpPr/>
      </xdr:nvCxnSpPr>
      <xdr:spPr>
        <a:xfrm>
          <a:off x="103505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790575</xdr:colOff>
      <xdr:row>8</xdr:row>
      <xdr:rowOff>165100</xdr:rowOff>
    </xdr:from>
    <xdr:to>
      <xdr:col>5</xdr:col>
      <xdr:colOff>790575</xdr:colOff>
      <xdr:row>10</xdr:row>
      <xdr:rowOff>88900</xdr:rowOff>
    </xdr:to>
    <xdr:cxnSp macro="">
      <xdr:nvCxnSpPr>
        <xdr:cNvPr id="26" name="Straight Connector 25">
          <a:extLst>
            <a:ext uri="{FF2B5EF4-FFF2-40B4-BE49-F238E27FC236}">
              <a16:creationId xmlns:a16="http://schemas.microsoft.com/office/drawing/2014/main" id="{00000000-0008-0000-0000-00001A000000}"/>
            </a:ext>
          </a:extLst>
        </xdr:cNvPr>
        <xdr:cNvCxnSpPr/>
      </xdr:nvCxnSpPr>
      <xdr:spPr>
        <a:xfrm>
          <a:off x="9274175" y="25146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790575</xdr:colOff>
      <xdr:row>12</xdr:row>
      <xdr:rowOff>177800</xdr:rowOff>
    </xdr:from>
    <xdr:to>
      <xdr:col>5</xdr:col>
      <xdr:colOff>790575</xdr:colOff>
      <xdr:row>15</xdr:row>
      <xdr:rowOff>177800</xdr:rowOff>
    </xdr:to>
    <xdr:cxnSp macro="">
      <xdr:nvCxnSpPr>
        <xdr:cNvPr id="27" name="Straight Connector 26">
          <a:extLst>
            <a:ext uri="{FF2B5EF4-FFF2-40B4-BE49-F238E27FC236}">
              <a16:creationId xmlns:a16="http://schemas.microsoft.com/office/drawing/2014/main" id="{00000000-0008-0000-0000-00001B000000}"/>
            </a:ext>
          </a:extLst>
        </xdr:cNvPr>
        <xdr:cNvCxnSpPr/>
      </xdr:nvCxnSpPr>
      <xdr:spPr>
        <a:xfrm>
          <a:off x="92741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1870075</xdr:colOff>
      <xdr:row>12</xdr:row>
      <xdr:rowOff>177800</xdr:rowOff>
    </xdr:from>
    <xdr:to>
      <xdr:col>5</xdr:col>
      <xdr:colOff>1870075</xdr:colOff>
      <xdr:row>15</xdr:row>
      <xdr:rowOff>177800</xdr:rowOff>
    </xdr:to>
    <xdr:cxnSp macro="">
      <xdr:nvCxnSpPr>
        <xdr:cNvPr id="28" name="Straight Connector 27">
          <a:extLst>
            <a:ext uri="{FF2B5EF4-FFF2-40B4-BE49-F238E27FC236}">
              <a16:creationId xmlns:a16="http://schemas.microsoft.com/office/drawing/2014/main" id="{00000000-0008-0000-0000-00001C000000}"/>
            </a:ext>
          </a:extLst>
        </xdr:cNvPr>
        <xdr:cNvCxnSpPr/>
      </xdr:nvCxnSpPr>
      <xdr:spPr>
        <a:xfrm>
          <a:off x="103536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1755775</xdr:colOff>
      <xdr:row>12</xdr:row>
      <xdr:rowOff>177800</xdr:rowOff>
    </xdr:from>
    <xdr:to>
      <xdr:col>4</xdr:col>
      <xdr:colOff>1755775</xdr:colOff>
      <xdr:row>15</xdr:row>
      <xdr:rowOff>177800</xdr:rowOff>
    </xdr:to>
    <xdr:cxnSp macro="">
      <xdr:nvCxnSpPr>
        <xdr:cNvPr id="29" name="Straight Connector 28">
          <a:extLst>
            <a:ext uri="{FF2B5EF4-FFF2-40B4-BE49-F238E27FC236}">
              <a16:creationId xmlns:a16="http://schemas.microsoft.com/office/drawing/2014/main" id="{00000000-0008-0000-0000-00001D000000}"/>
            </a:ext>
          </a:extLst>
        </xdr:cNvPr>
        <xdr:cNvCxnSpPr/>
      </xdr:nvCxnSpPr>
      <xdr:spPr>
        <a:xfrm>
          <a:off x="81819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1739899</xdr:colOff>
      <xdr:row>10</xdr:row>
      <xdr:rowOff>63500</xdr:rowOff>
    </xdr:from>
    <xdr:to>
      <xdr:col>5</xdr:col>
      <xdr:colOff>1867212</xdr:colOff>
      <xdr:row>10</xdr:row>
      <xdr:rowOff>63500</xdr:rowOff>
    </xdr:to>
    <xdr:cxnSp macro="">
      <xdr:nvCxnSpPr>
        <xdr:cNvPr id="30" name="Straight Connector 29">
          <a:extLst>
            <a:ext uri="{FF2B5EF4-FFF2-40B4-BE49-F238E27FC236}">
              <a16:creationId xmlns:a16="http://schemas.microsoft.com/office/drawing/2014/main" id="{00000000-0008-0000-0000-00001E000000}"/>
            </a:ext>
          </a:extLst>
        </xdr:cNvPr>
        <xdr:cNvCxnSpPr/>
      </xdr:nvCxnSpPr>
      <xdr:spPr>
        <a:xfrm>
          <a:off x="8166099" y="2870200"/>
          <a:ext cx="2184713" cy="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346075</xdr:colOff>
      <xdr:row>6</xdr:row>
      <xdr:rowOff>190500</xdr:rowOff>
    </xdr:from>
    <xdr:to>
      <xdr:col>7</xdr:col>
      <xdr:colOff>346075</xdr:colOff>
      <xdr:row>8</xdr:row>
      <xdr:rowOff>114300</xdr:rowOff>
    </xdr:to>
    <xdr:cxnSp macro="">
      <xdr:nvCxnSpPr>
        <xdr:cNvPr id="31" name="Straight Connector 30">
          <a:extLst>
            <a:ext uri="{FF2B5EF4-FFF2-40B4-BE49-F238E27FC236}">
              <a16:creationId xmlns:a16="http://schemas.microsoft.com/office/drawing/2014/main" id="{00000000-0008-0000-0000-00001F000000}"/>
            </a:ext>
          </a:extLst>
        </xdr:cNvPr>
        <xdr:cNvCxnSpPr/>
      </xdr:nvCxnSpPr>
      <xdr:spPr>
        <a:xfrm>
          <a:off x="12944475" y="20828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1308100</xdr:colOff>
      <xdr:row>10</xdr:row>
      <xdr:rowOff>68820</xdr:rowOff>
    </xdr:from>
    <xdr:to>
      <xdr:col>6</xdr:col>
      <xdr:colOff>1308100</xdr:colOff>
      <xdr:row>11</xdr:row>
      <xdr:rowOff>223529</xdr:rowOff>
    </xdr:to>
    <xdr:cxnSp macro="">
      <xdr:nvCxnSpPr>
        <xdr:cNvPr id="32" name="Straight Connector 31">
          <a:extLst>
            <a:ext uri="{FF2B5EF4-FFF2-40B4-BE49-F238E27FC236}">
              <a16:creationId xmlns:a16="http://schemas.microsoft.com/office/drawing/2014/main" id="{00000000-0008-0000-0000-000020000000}"/>
            </a:ext>
          </a:extLst>
        </xdr:cNvPr>
        <xdr:cNvCxnSpPr/>
      </xdr:nvCxnSpPr>
      <xdr:spPr>
        <a:xfrm>
          <a:off x="118491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346075</xdr:colOff>
      <xdr:row>10</xdr:row>
      <xdr:rowOff>68820</xdr:rowOff>
    </xdr:from>
    <xdr:to>
      <xdr:col>7</xdr:col>
      <xdr:colOff>346075</xdr:colOff>
      <xdr:row>11</xdr:row>
      <xdr:rowOff>223529</xdr:rowOff>
    </xdr:to>
    <xdr:cxnSp macro="">
      <xdr:nvCxnSpPr>
        <xdr:cNvPr id="33" name="Straight Connector 32">
          <a:extLst>
            <a:ext uri="{FF2B5EF4-FFF2-40B4-BE49-F238E27FC236}">
              <a16:creationId xmlns:a16="http://schemas.microsoft.com/office/drawing/2014/main" id="{00000000-0008-0000-0000-000021000000}"/>
            </a:ext>
          </a:extLst>
        </xdr:cNvPr>
        <xdr:cNvCxnSpPr/>
      </xdr:nvCxnSpPr>
      <xdr:spPr>
        <a:xfrm>
          <a:off x="12944475"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1422400</xdr:colOff>
      <xdr:row>10</xdr:row>
      <xdr:rowOff>68820</xdr:rowOff>
    </xdr:from>
    <xdr:to>
      <xdr:col>7</xdr:col>
      <xdr:colOff>1422400</xdr:colOff>
      <xdr:row>11</xdr:row>
      <xdr:rowOff>223529</xdr:rowOff>
    </xdr:to>
    <xdr:cxnSp macro="">
      <xdr:nvCxnSpPr>
        <xdr:cNvPr id="34" name="Straight Connector 33">
          <a:extLst>
            <a:ext uri="{FF2B5EF4-FFF2-40B4-BE49-F238E27FC236}">
              <a16:creationId xmlns:a16="http://schemas.microsoft.com/office/drawing/2014/main" id="{00000000-0008-0000-0000-000022000000}"/>
            </a:ext>
          </a:extLst>
        </xdr:cNvPr>
        <xdr:cNvCxnSpPr/>
      </xdr:nvCxnSpPr>
      <xdr:spPr>
        <a:xfrm>
          <a:off x="14020800" y="2875520"/>
          <a:ext cx="0" cy="383309"/>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346075</xdr:colOff>
      <xdr:row>8</xdr:row>
      <xdr:rowOff>165100</xdr:rowOff>
    </xdr:from>
    <xdr:to>
      <xdr:col>7</xdr:col>
      <xdr:colOff>346075</xdr:colOff>
      <xdr:row>10</xdr:row>
      <xdr:rowOff>88900</xdr:rowOff>
    </xdr:to>
    <xdr:cxnSp macro="">
      <xdr:nvCxnSpPr>
        <xdr:cNvPr id="35" name="Straight Connector 34">
          <a:extLst>
            <a:ext uri="{FF2B5EF4-FFF2-40B4-BE49-F238E27FC236}">
              <a16:creationId xmlns:a16="http://schemas.microsoft.com/office/drawing/2014/main" id="{00000000-0008-0000-0000-000023000000}"/>
            </a:ext>
          </a:extLst>
        </xdr:cNvPr>
        <xdr:cNvCxnSpPr/>
      </xdr:nvCxnSpPr>
      <xdr:spPr>
        <a:xfrm>
          <a:off x="12944475" y="2514600"/>
          <a:ext cx="0" cy="3810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346075</xdr:colOff>
      <xdr:row>12</xdr:row>
      <xdr:rowOff>177800</xdr:rowOff>
    </xdr:from>
    <xdr:to>
      <xdr:col>7</xdr:col>
      <xdr:colOff>346075</xdr:colOff>
      <xdr:row>15</xdr:row>
      <xdr:rowOff>177800</xdr:rowOff>
    </xdr:to>
    <xdr:cxnSp macro="">
      <xdr:nvCxnSpPr>
        <xdr:cNvPr id="36" name="Straight Connector 35">
          <a:extLst>
            <a:ext uri="{FF2B5EF4-FFF2-40B4-BE49-F238E27FC236}">
              <a16:creationId xmlns:a16="http://schemas.microsoft.com/office/drawing/2014/main" id="{00000000-0008-0000-0000-000024000000}"/>
            </a:ext>
          </a:extLst>
        </xdr:cNvPr>
        <xdr:cNvCxnSpPr/>
      </xdr:nvCxnSpPr>
      <xdr:spPr>
        <a:xfrm>
          <a:off x="129444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1425575</xdr:colOff>
      <xdr:row>12</xdr:row>
      <xdr:rowOff>177800</xdr:rowOff>
    </xdr:from>
    <xdr:to>
      <xdr:col>7</xdr:col>
      <xdr:colOff>1425575</xdr:colOff>
      <xdr:row>15</xdr:row>
      <xdr:rowOff>177800</xdr:rowOff>
    </xdr:to>
    <xdr:cxnSp macro="">
      <xdr:nvCxnSpPr>
        <xdr:cNvPr id="37" name="Straight Connector 36">
          <a:extLst>
            <a:ext uri="{FF2B5EF4-FFF2-40B4-BE49-F238E27FC236}">
              <a16:creationId xmlns:a16="http://schemas.microsoft.com/office/drawing/2014/main" id="{00000000-0008-0000-0000-000025000000}"/>
            </a:ext>
          </a:extLst>
        </xdr:cNvPr>
        <xdr:cNvCxnSpPr/>
      </xdr:nvCxnSpPr>
      <xdr:spPr>
        <a:xfrm>
          <a:off x="140239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1311275</xdr:colOff>
      <xdr:row>12</xdr:row>
      <xdr:rowOff>177800</xdr:rowOff>
    </xdr:from>
    <xdr:to>
      <xdr:col>6</xdr:col>
      <xdr:colOff>1311275</xdr:colOff>
      <xdr:row>15</xdr:row>
      <xdr:rowOff>177800</xdr:rowOff>
    </xdr:to>
    <xdr:cxnSp macro="">
      <xdr:nvCxnSpPr>
        <xdr:cNvPr id="38" name="Straight Connector 37">
          <a:extLst>
            <a:ext uri="{FF2B5EF4-FFF2-40B4-BE49-F238E27FC236}">
              <a16:creationId xmlns:a16="http://schemas.microsoft.com/office/drawing/2014/main" id="{00000000-0008-0000-0000-000026000000}"/>
            </a:ext>
          </a:extLst>
        </xdr:cNvPr>
        <xdr:cNvCxnSpPr/>
      </xdr:nvCxnSpPr>
      <xdr:spPr>
        <a:xfrm>
          <a:off x="11852275" y="3441700"/>
          <a:ext cx="0" cy="68580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1300419</xdr:colOff>
      <xdr:row>10</xdr:row>
      <xdr:rowOff>63500</xdr:rowOff>
    </xdr:from>
    <xdr:to>
      <xdr:col>7</xdr:col>
      <xdr:colOff>1427732</xdr:colOff>
      <xdr:row>10</xdr:row>
      <xdr:rowOff>63500</xdr:rowOff>
    </xdr:to>
    <xdr:cxnSp macro="">
      <xdr:nvCxnSpPr>
        <xdr:cNvPr id="39" name="Straight Connector 38">
          <a:extLst>
            <a:ext uri="{FF2B5EF4-FFF2-40B4-BE49-F238E27FC236}">
              <a16:creationId xmlns:a16="http://schemas.microsoft.com/office/drawing/2014/main" id="{00000000-0008-0000-0000-000027000000}"/>
            </a:ext>
          </a:extLst>
        </xdr:cNvPr>
        <xdr:cNvCxnSpPr/>
      </xdr:nvCxnSpPr>
      <xdr:spPr>
        <a:xfrm>
          <a:off x="11841419" y="2870200"/>
          <a:ext cx="2184713" cy="0"/>
        </a:xfrm>
        <a:prstGeom prst="line">
          <a:avLst/>
        </a:prstGeom>
        <a:ln w="1905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1079500</xdr:colOff>
      <xdr:row>4</xdr:row>
      <xdr:rowOff>63500</xdr:rowOff>
    </xdr:from>
    <xdr:to>
      <xdr:col>5</xdr:col>
      <xdr:colOff>1079500</xdr:colOff>
      <xdr:row>6</xdr:row>
      <xdr:rowOff>63500</xdr:rowOff>
    </xdr:to>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5448300" y="1498600"/>
          <a:ext cx="4114800" cy="457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100">
              <a:latin typeface="Century Gothic" charset="0"/>
              <a:ea typeface="Century Gothic" charset="0"/>
              <a:cs typeface="Century Gothic" charset="0"/>
            </a:rPr>
            <a:t>PROJECT TITLE</a:t>
          </a:r>
        </a:p>
      </xdr:txBody>
    </xdr:sp>
    <xdr:clientData/>
  </xdr:twoCellAnchor>
  <xdr:twoCellAnchor>
    <xdr:from>
      <xdr:col>1</xdr:col>
      <xdr:colOff>406400</xdr:colOff>
      <xdr:row>7</xdr:row>
      <xdr:rowOff>139700</xdr:rowOff>
    </xdr:from>
    <xdr:to>
      <xdr:col>2</xdr:col>
      <xdr:colOff>1092200</xdr:colOff>
      <xdr:row>9</xdr:row>
      <xdr:rowOff>139700</xdr:rowOff>
    </xdr:to>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660400" y="2260600"/>
          <a:ext cx="2743200" cy="457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a:latin typeface="Century Gothic" charset="0"/>
              <a:ea typeface="Century Gothic" charset="0"/>
              <a:cs typeface="Century Gothic" charset="0"/>
            </a:rPr>
            <a:t>1 Activity Title</a:t>
          </a:r>
        </a:p>
      </xdr:txBody>
    </xdr:sp>
    <xdr:clientData/>
  </xdr:twoCellAnchor>
  <xdr:twoCellAnchor>
    <xdr:from>
      <xdr:col>1</xdr:col>
      <xdr:colOff>241300</xdr:colOff>
      <xdr:row>11</xdr:row>
      <xdr:rowOff>25400</xdr:rowOff>
    </xdr:from>
    <xdr:to>
      <xdr:col>1</xdr:col>
      <xdr:colOff>1155700</xdr:colOff>
      <xdr:row>13</xdr:row>
      <xdr:rowOff>114300</xdr:rowOff>
    </xdr:to>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4953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1.1 Task</a:t>
          </a:r>
        </a:p>
      </xdr:txBody>
    </xdr:sp>
    <xdr:clientData/>
  </xdr:twoCellAnchor>
  <xdr:twoCellAnchor>
    <xdr:from>
      <xdr:col>1</xdr:col>
      <xdr:colOff>1327150</xdr:colOff>
      <xdr:row>11</xdr:row>
      <xdr:rowOff>25400</xdr:rowOff>
    </xdr:from>
    <xdr:to>
      <xdr:col>2</xdr:col>
      <xdr:colOff>184150</xdr:colOff>
      <xdr:row>13</xdr:row>
      <xdr:rowOff>114300</xdr:rowOff>
    </xdr:to>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58115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1.2 Task</a:t>
          </a:r>
        </a:p>
      </xdr:txBody>
    </xdr:sp>
    <xdr:clientData/>
  </xdr:twoCellAnchor>
  <xdr:twoCellAnchor>
    <xdr:from>
      <xdr:col>2</xdr:col>
      <xdr:colOff>355600</xdr:colOff>
      <xdr:row>11</xdr:row>
      <xdr:rowOff>25400</xdr:rowOff>
    </xdr:from>
    <xdr:to>
      <xdr:col>2</xdr:col>
      <xdr:colOff>1270000</xdr:colOff>
      <xdr:row>13</xdr:row>
      <xdr:rowOff>114300</xdr:rowOff>
    </xdr:to>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26670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1.3 Task</a:t>
          </a:r>
        </a:p>
      </xdr:txBody>
    </xdr:sp>
    <xdr:clientData/>
  </xdr:twoCellAnchor>
  <xdr:twoCellAnchor>
    <xdr:from>
      <xdr:col>1</xdr:col>
      <xdr:colOff>241300</xdr:colOff>
      <xdr:row>14</xdr:row>
      <xdr:rowOff>215900</xdr:rowOff>
    </xdr:from>
    <xdr:to>
      <xdr:col>1</xdr:col>
      <xdr:colOff>1155700</xdr:colOff>
      <xdr:row>21</xdr:row>
      <xdr:rowOff>215900</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495300" y="3937000"/>
          <a:ext cx="914400" cy="1600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1.1.</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1.1.</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1.1.</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1.1.</a:t>
          </a:r>
          <a:r>
            <a:rPr lang="en-US" sz="900" baseline="0">
              <a:latin typeface="Century Gothic" charset="0"/>
              <a:ea typeface="Century Gothic" charset="0"/>
              <a:cs typeface="Century Gothic" charset="0"/>
            </a:rPr>
            <a:t>4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1.1.5 Subtask</a:t>
          </a:r>
        </a:p>
      </xdr:txBody>
    </xdr:sp>
    <xdr:clientData/>
  </xdr:twoCellAnchor>
  <xdr:twoCellAnchor>
    <xdr:from>
      <xdr:col>1</xdr:col>
      <xdr:colOff>1327150</xdr:colOff>
      <xdr:row>14</xdr:row>
      <xdr:rowOff>215900</xdr:rowOff>
    </xdr:from>
    <xdr:to>
      <xdr:col>2</xdr:col>
      <xdr:colOff>184150</xdr:colOff>
      <xdr:row>20</xdr:row>
      <xdr:rowOff>165100</xdr:rowOff>
    </xdr:to>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581150" y="3937000"/>
          <a:ext cx="914400" cy="13208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1.2.</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1.2.</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1.2.</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1.2.</a:t>
          </a:r>
          <a:r>
            <a:rPr lang="en-US" sz="900" baseline="0">
              <a:latin typeface="Century Gothic" charset="0"/>
              <a:ea typeface="Century Gothic" charset="0"/>
              <a:cs typeface="Century Gothic" charset="0"/>
            </a:rPr>
            <a:t>4 Subtask</a:t>
          </a:r>
          <a:endParaRPr lang="en-US" sz="900">
            <a:latin typeface="Century Gothic" charset="0"/>
            <a:ea typeface="Century Gothic" charset="0"/>
            <a:cs typeface="Century Gothic" charset="0"/>
          </a:endParaRPr>
        </a:p>
      </xdr:txBody>
    </xdr:sp>
    <xdr:clientData/>
  </xdr:twoCellAnchor>
  <xdr:twoCellAnchor>
    <xdr:from>
      <xdr:col>2</xdr:col>
      <xdr:colOff>355600</xdr:colOff>
      <xdr:row>14</xdr:row>
      <xdr:rowOff>215900</xdr:rowOff>
    </xdr:from>
    <xdr:to>
      <xdr:col>2</xdr:col>
      <xdr:colOff>1270000</xdr:colOff>
      <xdr:row>19</xdr:row>
      <xdr:rowOff>76200</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2667000" y="3937000"/>
          <a:ext cx="914400" cy="10033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1.3.</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1.3.</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1.3.</a:t>
          </a:r>
          <a:r>
            <a:rPr lang="en-US" sz="900" baseline="0">
              <a:latin typeface="Century Gothic" charset="0"/>
              <a:ea typeface="Century Gothic" charset="0"/>
              <a:cs typeface="Century Gothic" charset="0"/>
            </a:rPr>
            <a:t>3 Subtask</a:t>
          </a:r>
        </a:p>
      </xdr:txBody>
    </xdr:sp>
    <xdr:clientData/>
  </xdr:twoCellAnchor>
  <xdr:twoCellAnchor>
    <xdr:from>
      <xdr:col>2</xdr:col>
      <xdr:colOff>1968500</xdr:colOff>
      <xdr:row>7</xdr:row>
      <xdr:rowOff>139700</xdr:rowOff>
    </xdr:from>
    <xdr:to>
      <xdr:col>4</xdr:col>
      <xdr:colOff>596900</xdr:colOff>
      <xdr:row>9</xdr:row>
      <xdr:rowOff>139700</xdr:rowOff>
    </xdr:to>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4279900" y="2260600"/>
          <a:ext cx="2743200" cy="457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a:latin typeface="Century Gothic" charset="0"/>
              <a:ea typeface="Century Gothic" charset="0"/>
              <a:cs typeface="Century Gothic" charset="0"/>
            </a:rPr>
            <a:t>2 Activity Title</a:t>
          </a:r>
        </a:p>
      </xdr:txBody>
    </xdr:sp>
    <xdr:clientData/>
  </xdr:twoCellAnchor>
  <xdr:twoCellAnchor>
    <xdr:from>
      <xdr:col>2</xdr:col>
      <xdr:colOff>1803400</xdr:colOff>
      <xdr:row>11</xdr:row>
      <xdr:rowOff>25400</xdr:rowOff>
    </xdr:from>
    <xdr:to>
      <xdr:col>3</xdr:col>
      <xdr:colOff>660400</xdr:colOff>
      <xdr:row>13</xdr:row>
      <xdr:rowOff>114300</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41148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2.1 Task</a:t>
          </a:r>
        </a:p>
      </xdr:txBody>
    </xdr:sp>
    <xdr:clientData/>
  </xdr:twoCellAnchor>
  <xdr:twoCellAnchor>
    <xdr:from>
      <xdr:col>3</xdr:col>
      <xdr:colOff>831850</xdr:colOff>
      <xdr:row>11</xdr:row>
      <xdr:rowOff>25400</xdr:rowOff>
    </xdr:from>
    <xdr:to>
      <xdr:col>3</xdr:col>
      <xdr:colOff>1746250</xdr:colOff>
      <xdr:row>13</xdr:row>
      <xdr:rowOff>114300</xdr:rowOff>
    </xdr:to>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520065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2.2 Task</a:t>
          </a:r>
        </a:p>
      </xdr:txBody>
    </xdr:sp>
    <xdr:clientData/>
  </xdr:twoCellAnchor>
  <xdr:twoCellAnchor>
    <xdr:from>
      <xdr:col>3</xdr:col>
      <xdr:colOff>1917700</xdr:colOff>
      <xdr:row>11</xdr:row>
      <xdr:rowOff>25400</xdr:rowOff>
    </xdr:from>
    <xdr:to>
      <xdr:col>4</xdr:col>
      <xdr:colOff>774700</xdr:colOff>
      <xdr:row>13</xdr:row>
      <xdr:rowOff>114300</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62865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2.3 Task</a:t>
          </a:r>
        </a:p>
      </xdr:txBody>
    </xdr:sp>
    <xdr:clientData/>
  </xdr:twoCellAnchor>
  <xdr:twoCellAnchor>
    <xdr:from>
      <xdr:col>2</xdr:col>
      <xdr:colOff>1803400</xdr:colOff>
      <xdr:row>14</xdr:row>
      <xdr:rowOff>215900</xdr:rowOff>
    </xdr:from>
    <xdr:to>
      <xdr:col>3</xdr:col>
      <xdr:colOff>660400</xdr:colOff>
      <xdr:row>21</xdr:row>
      <xdr:rowOff>215900</xdr:rowOff>
    </xdr:to>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4114800" y="3937000"/>
          <a:ext cx="914400" cy="1600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2.1.</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2.1.</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2.1.</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2.1.</a:t>
          </a:r>
          <a:r>
            <a:rPr lang="en-US" sz="900" baseline="0">
              <a:latin typeface="Century Gothic" charset="0"/>
              <a:ea typeface="Century Gothic" charset="0"/>
              <a:cs typeface="Century Gothic" charset="0"/>
            </a:rPr>
            <a:t>4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2.1.5 Subtask</a:t>
          </a:r>
        </a:p>
      </xdr:txBody>
    </xdr:sp>
    <xdr:clientData/>
  </xdr:twoCellAnchor>
  <xdr:twoCellAnchor>
    <xdr:from>
      <xdr:col>3</xdr:col>
      <xdr:colOff>831850</xdr:colOff>
      <xdr:row>14</xdr:row>
      <xdr:rowOff>215900</xdr:rowOff>
    </xdr:from>
    <xdr:to>
      <xdr:col>3</xdr:col>
      <xdr:colOff>1746250</xdr:colOff>
      <xdr:row>20</xdr:row>
      <xdr:rowOff>165100</xdr:rowOff>
    </xdr:to>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5200650" y="3937000"/>
          <a:ext cx="914400" cy="13208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2.2.</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2.2.</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2.2.</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2.2.</a:t>
          </a:r>
          <a:r>
            <a:rPr lang="en-US" sz="900" baseline="0">
              <a:latin typeface="Century Gothic" charset="0"/>
              <a:ea typeface="Century Gothic" charset="0"/>
              <a:cs typeface="Century Gothic" charset="0"/>
            </a:rPr>
            <a:t>4 Subtask</a:t>
          </a:r>
          <a:endParaRPr lang="en-US" sz="900">
            <a:latin typeface="Century Gothic" charset="0"/>
            <a:ea typeface="Century Gothic" charset="0"/>
            <a:cs typeface="Century Gothic" charset="0"/>
          </a:endParaRPr>
        </a:p>
      </xdr:txBody>
    </xdr:sp>
    <xdr:clientData/>
  </xdr:twoCellAnchor>
  <xdr:twoCellAnchor>
    <xdr:from>
      <xdr:col>3</xdr:col>
      <xdr:colOff>1917700</xdr:colOff>
      <xdr:row>14</xdr:row>
      <xdr:rowOff>215900</xdr:rowOff>
    </xdr:from>
    <xdr:to>
      <xdr:col>4</xdr:col>
      <xdr:colOff>774700</xdr:colOff>
      <xdr:row>19</xdr:row>
      <xdr:rowOff>76200</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6286500" y="3937000"/>
          <a:ext cx="914400" cy="10033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2.3.</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2.3.</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2.3.</a:t>
          </a:r>
          <a:r>
            <a:rPr lang="en-US" sz="900" baseline="0">
              <a:latin typeface="Century Gothic" charset="0"/>
              <a:ea typeface="Century Gothic" charset="0"/>
              <a:cs typeface="Century Gothic" charset="0"/>
            </a:rPr>
            <a:t>3 Subtask</a:t>
          </a:r>
        </a:p>
      </xdr:txBody>
    </xdr:sp>
    <xdr:clientData/>
  </xdr:twoCellAnchor>
  <xdr:twoCellAnchor>
    <xdr:from>
      <xdr:col>4</xdr:col>
      <xdr:colOff>1473200</xdr:colOff>
      <xdr:row>7</xdr:row>
      <xdr:rowOff>139700</xdr:rowOff>
    </xdr:from>
    <xdr:to>
      <xdr:col>6</xdr:col>
      <xdr:colOff>101600</xdr:colOff>
      <xdr:row>9</xdr:row>
      <xdr:rowOff>139700</xdr:rowOff>
    </xdr:to>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7899400" y="2260600"/>
          <a:ext cx="2743200" cy="457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a:latin typeface="Century Gothic" charset="0"/>
              <a:ea typeface="Century Gothic" charset="0"/>
              <a:cs typeface="Century Gothic" charset="0"/>
            </a:rPr>
            <a:t>3 Activity Title</a:t>
          </a:r>
        </a:p>
      </xdr:txBody>
    </xdr:sp>
    <xdr:clientData/>
  </xdr:twoCellAnchor>
  <xdr:twoCellAnchor>
    <xdr:from>
      <xdr:col>4</xdr:col>
      <xdr:colOff>1308100</xdr:colOff>
      <xdr:row>11</xdr:row>
      <xdr:rowOff>25400</xdr:rowOff>
    </xdr:from>
    <xdr:to>
      <xdr:col>5</xdr:col>
      <xdr:colOff>165100</xdr:colOff>
      <xdr:row>13</xdr:row>
      <xdr:rowOff>114300</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77343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3.1 Task</a:t>
          </a:r>
        </a:p>
      </xdr:txBody>
    </xdr:sp>
    <xdr:clientData/>
  </xdr:twoCellAnchor>
  <xdr:twoCellAnchor>
    <xdr:from>
      <xdr:col>5</xdr:col>
      <xdr:colOff>336550</xdr:colOff>
      <xdr:row>11</xdr:row>
      <xdr:rowOff>25400</xdr:rowOff>
    </xdr:from>
    <xdr:to>
      <xdr:col>5</xdr:col>
      <xdr:colOff>1250950</xdr:colOff>
      <xdr:row>13</xdr:row>
      <xdr:rowOff>114300</xdr:rowOff>
    </xdr:to>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882015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3.2 Task</a:t>
          </a:r>
        </a:p>
      </xdr:txBody>
    </xdr:sp>
    <xdr:clientData/>
  </xdr:twoCellAnchor>
  <xdr:twoCellAnchor>
    <xdr:from>
      <xdr:col>5</xdr:col>
      <xdr:colOff>1422400</xdr:colOff>
      <xdr:row>11</xdr:row>
      <xdr:rowOff>25400</xdr:rowOff>
    </xdr:from>
    <xdr:to>
      <xdr:col>6</xdr:col>
      <xdr:colOff>279400</xdr:colOff>
      <xdr:row>13</xdr:row>
      <xdr:rowOff>114300</xdr:rowOff>
    </xdr:to>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99060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3.3 Task</a:t>
          </a:r>
        </a:p>
      </xdr:txBody>
    </xdr:sp>
    <xdr:clientData/>
  </xdr:twoCellAnchor>
  <xdr:twoCellAnchor>
    <xdr:from>
      <xdr:col>4</xdr:col>
      <xdr:colOff>1308100</xdr:colOff>
      <xdr:row>14</xdr:row>
      <xdr:rowOff>215900</xdr:rowOff>
    </xdr:from>
    <xdr:to>
      <xdr:col>5</xdr:col>
      <xdr:colOff>165100</xdr:colOff>
      <xdr:row>21</xdr:row>
      <xdr:rowOff>215900</xdr:rowOff>
    </xdr:to>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7734300" y="3937000"/>
          <a:ext cx="914400" cy="1600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3.1.</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3.1.</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3.1.</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3.1.</a:t>
          </a:r>
          <a:r>
            <a:rPr lang="en-US" sz="900" baseline="0">
              <a:latin typeface="Century Gothic" charset="0"/>
              <a:ea typeface="Century Gothic" charset="0"/>
              <a:cs typeface="Century Gothic" charset="0"/>
            </a:rPr>
            <a:t>4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3.1.5 Subtask</a:t>
          </a:r>
        </a:p>
      </xdr:txBody>
    </xdr:sp>
    <xdr:clientData/>
  </xdr:twoCellAnchor>
  <xdr:twoCellAnchor>
    <xdr:from>
      <xdr:col>5</xdr:col>
      <xdr:colOff>336550</xdr:colOff>
      <xdr:row>14</xdr:row>
      <xdr:rowOff>215900</xdr:rowOff>
    </xdr:from>
    <xdr:to>
      <xdr:col>5</xdr:col>
      <xdr:colOff>1250950</xdr:colOff>
      <xdr:row>20</xdr:row>
      <xdr:rowOff>165100</xdr:rowOff>
    </xdr:to>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8820150" y="3937000"/>
          <a:ext cx="914400" cy="13208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3.2.</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3.2.</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3.2.</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3.2.</a:t>
          </a:r>
          <a:r>
            <a:rPr lang="en-US" sz="900" baseline="0">
              <a:latin typeface="Century Gothic" charset="0"/>
              <a:ea typeface="Century Gothic" charset="0"/>
              <a:cs typeface="Century Gothic" charset="0"/>
            </a:rPr>
            <a:t>4 Subtask</a:t>
          </a:r>
          <a:endParaRPr lang="en-US" sz="900">
            <a:latin typeface="Century Gothic" charset="0"/>
            <a:ea typeface="Century Gothic" charset="0"/>
            <a:cs typeface="Century Gothic" charset="0"/>
          </a:endParaRPr>
        </a:p>
      </xdr:txBody>
    </xdr:sp>
    <xdr:clientData/>
  </xdr:twoCellAnchor>
  <xdr:twoCellAnchor>
    <xdr:from>
      <xdr:col>5</xdr:col>
      <xdr:colOff>1422400</xdr:colOff>
      <xdr:row>14</xdr:row>
      <xdr:rowOff>215900</xdr:rowOff>
    </xdr:from>
    <xdr:to>
      <xdr:col>6</xdr:col>
      <xdr:colOff>279400</xdr:colOff>
      <xdr:row>19</xdr:row>
      <xdr:rowOff>76200</xdr:rowOff>
    </xdr:to>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9906000" y="3937000"/>
          <a:ext cx="914400" cy="10033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3.3.</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3.3.</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3.3.</a:t>
          </a:r>
          <a:r>
            <a:rPr lang="en-US" sz="900" baseline="0">
              <a:latin typeface="Century Gothic" charset="0"/>
              <a:ea typeface="Century Gothic" charset="0"/>
              <a:cs typeface="Century Gothic" charset="0"/>
            </a:rPr>
            <a:t>3 Subtask</a:t>
          </a:r>
        </a:p>
      </xdr:txBody>
    </xdr:sp>
    <xdr:clientData/>
  </xdr:twoCellAnchor>
  <xdr:twoCellAnchor>
    <xdr:from>
      <xdr:col>6</xdr:col>
      <xdr:colOff>977900</xdr:colOff>
      <xdr:row>7</xdr:row>
      <xdr:rowOff>139700</xdr:rowOff>
    </xdr:from>
    <xdr:to>
      <xdr:col>7</xdr:col>
      <xdr:colOff>1663700</xdr:colOff>
      <xdr:row>9</xdr:row>
      <xdr:rowOff>139700</xdr:rowOff>
    </xdr:to>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1518900" y="2260600"/>
          <a:ext cx="2743200" cy="457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a:latin typeface="Century Gothic" charset="0"/>
              <a:ea typeface="Century Gothic" charset="0"/>
              <a:cs typeface="Century Gothic" charset="0"/>
            </a:rPr>
            <a:t>4 Activity Title</a:t>
          </a:r>
        </a:p>
      </xdr:txBody>
    </xdr:sp>
    <xdr:clientData/>
  </xdr:twoCellAnchor>
  <xdr:twoCellAnchor>
    <xdr:from>
      <xdr:col>6</xdr:col>
      <xdr:colOff>812800</xdr:colOff>
      <xdr:row>11</xdr:row>
      <xdr:rowOff>25400</xdr:rowOff>
    </xdr:from>
    <xdr:to>
      <xdr:col>6</xdr:col>
      <xdr:colOff>1727200</xdr:colOff>
      <xdr:row>13</xdr:row>
      <xdr:rowOff>114300</xdr:rowOff>
    </xdr:to>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113538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4.1 Task</a:t>
          </a:r>
        </a:p>
      </xdr:txBody>
    </xdr:sp>
    <xdr:clientData/>
  </xdr:twoCellAnchor>
  <xdr:twoCellAnchor>
    <xdr:from>
      <xdr:col>6</xdr:col>
      <xdr:colOff>1898650</xdr:colOff>
      <xdr:row>11</xdr:row>
      <xdr:rowOff>25400</xdr:rowOff>
    </xdr:from>
    <xdr:to>
      <xdr:col>7</xdr:col>
      <xdr:colOff>755650</xdr:colOff>
      <xdr:row>13</xdr:row>
      <xdr:rowOff>114300</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243965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4.2 Task</a:t>
          </a:r>
        </a:p>
      </xdr:txBody>
    </xdr:sp>
    <xdr:clientData/>
  </xdr:twoCellAnchor>
  <xdr:twoCellAnchor>
    <xdr:from>
      <xdr:col>7</xdr:col>
      <xdr:colOff>927100</xdr:colOff>
      <xdr:row>11</xdr:row>
      <xdr:rowOff>25400</xdr:rowOff>
    </xdr:from>
    <xdr:to>
      <xdr:col>7</xdr:col>
      <xdr:colOff>1841500</xdr:colOff>
      <xdr:row>13</xdr:row>
      <xdr:rowOff>114300</xdr:rowOff>
    </xdr:to>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13525500" y="3060700"/>
          <a:ext cx="914400" cy="5461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4.3 Task</a:t>
          </a:r>
        </a:p>
      </xdr:txBody>
    </xdr:sp>
    <xdr:clientData/>
  </xdr:twoCellAnchor>
  <xdr:twoCellAnchor>
    <xdr:from>
      <xdr:col>6</xdr:col>
      <xdr:colOff>812800</xdr:colOff>
      <xdr:row>14</xdr:row>
      <xdr:rowOff>215900</xdr:rowOff>
    </xdr:from>
    <xdr:to>
      <xdr:col>6</xdr:col>
      <xdr:colOff>1727200</xdr:colOff>
      <xdr:row>21</xdr:row>
      <xdr:rowOff>215900</xdr:rowOff>
    </xdr:to>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1353800" y="3937000"/>
          <a:ext cx="914400" cy="16002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4.1.</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4.1.</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4.1.</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4.1.</a:t>
          </a:r>
          <a:r>
            <a:rPr lang="en-US" sz="900" baseline="0">
              <a:latin typeface="Century Gothic" charset="0"/>
              <a:ea typeface="Century Gothic" charset="0"/>
              <a:cs typeface="Century Gothic" charset="0"/>
            </a:rPr>
            <a:t>4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4.1.5 Subtask</a:t>
          </a:r>
        </a:p>
      </xdr:txBody>
    </xdr:sp>
    <xdr:clientData/>
  </xdr:twoCellAnchor>
  <xdr:twoCellAnchor>
    <xdr:from>
      <xdr:col>6</xdr:col>
      <xdr:colOff>1898650</xdr:colOff>
      <xdr:row>14</xdr:row>
      <xdr:rowOff>215900</xdr:rowOff>
    </xdr:from>
    <xdr:to>
      <xdr:col>7</xdr:col>
      <xdr:colOff>755650</xdr:colOff>
      <xdr:row>20</xdr:row>
      <xdr:rowOff>165100</xdr:rowOff>
    </xdr:to>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12439650" y="3937000"/>
          <a:ext cx="914400" cy="13208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4.2.</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4.2.</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4.2.</a:t>
          </a:r>
          <a:r>
            <a:rPr lang="en-US" sz="900" baseline="0">
              <a:latin typeface="Century Gothic" charset="0"/>
              <a:ea typeface="Century Gothic" charset="0"/>
              <a:cs typeface="Century Gothic" charset="0"/>
            </a:rPr>
            <a:t>3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4.2.</a:t>
          </a:r>
          <a:r>
            <a:rPr lang="en-US" sz="900" baseline="0">
              <a:latin typeface="Century Gothic" charset="0"/>
              <a:ea typeface="Century Gothic" charset="0"/>
              <a:cs typeface="Century Gothic" charset="0"/>
            </a:rPr>
            <a:t>4 Subtask</a:t>
          </a:r>
          <a:endParaRPr lang="en-US" sz="900">
            <a:latin typeface="Century Gothic" charset="0"/>
            <a:ea typeface="Century Gothic" charset="0"/>
            <a:cs typeface="Century Gothic" charset="0"/>
          </a:endParaRPr>
        </a:p>
      </xdr:txBody>
    </xdr:sp>
    <xdr:clientData/>
  </xdr:twoCellAnchor>
  <xdr:twoCellAnchor>
    <xdr:from>
      <xdr:col>7</xdr:col>
      <xdr:colOff>927100</xdr:colOff>
      <xdr:row>14</xdr:row>
      <xdr:rowOff>215900</xdr:rowOff>
    </xdr:from>
    <xdr:to>
      <xdr:col>7</xdr:col>
      <xdr:colOff>1841500</xdr:colOff>
      <xdr:row>19</xdr:row>
      <xdr:rowOff>76200</xdr:rowOff>
    </xdr:to>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13525500" y="3937000"/>
          <a:ext cx="914400" cy="1003300"/>
        </a:xfrm>
        <a:prstGeom prst="rect">
          <a:avLst/>
        </a:prstGeom>
        <a:solidFill>
          <a:schemeClr val="lt1"/>
        </a:solidFill>
        <a:ln w="12700" cmpd="sng">
          <a:solidFill>
            <a:schemeClr val="accent3"/>
          </a:solidFill>
        </a:ln>
        <a:effectLst>
          <a:outerShdw blurRad="50800" dist="12700" dir="5400000" algn="t" rotWithShape="0">
            <a:schemeClr val="bg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900">
              <a:latin typeface="Century Gothic" charset="0"/>
              <a:ea typeface="Century Gothic" charset="0"/>
              <a:cs typeface="Century Gothic" charset="0"/>
            </a:rPr>
            <a:t>4.3.</a:t>
          </a:r>
          <a:r>
            <a:rPr lang="en-US" sz="900" baseline="0">
              <a:latin typeface="Century Gothic" charset="0"/>
              <a:ea typeface="Century Gothic" charset="0"/>
              <a:cs typeface="Century Gothic" charset="0"/>
            </a:rPr>
            <a:t>1 Subtask</a:t>
          </a:r>
        </a:p>
        <a:p>
          <a:pPr algn="ctr"/>
          <a:endParaRPr lang="en-US" sz="900" baseline="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4.3.</a:t>
          </a:r>
          <a:r>
            <a:rPr lang="en-US" sz="900" baseline="0">
              <a:latin typeface="Century Gothic" charset="0"/>
              <a:ea typeface="Century Gothic" charset="0"/>
              <a:cs typeface="Century Gothic" charset="0"/>
            </a:rPr>
            <a:t>2 Subtask</a:t>
          </a:r>
        </a:p>
        <a:p>
          <a:pPr marL="0" marR="0" indent="0" algn="ctr" defTabSz="914400" eaLnBrk="1" fontAlgn="auto" latinLnBrk="0" hangingPunct="1">
            <a:lnSpc>
              <a:spcPct val="100000"/>
            </a:lnSpc>
            <a:spcBef>
              <a:spcPts val="0"/>
            </a:spcBef>
            <a:spcAft>
              <a:spcPts val="0"/>
            </a:spcAft>
            <a:buClrTx/>
            <a:buSzTx/>
            <a:buFontTx/>
            <a:buNone/>
            <a:tabLst/>
            <a:defRPr/>
          </a:pPr>
          <a:endParaRPr lang="en-US" sz="900">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a:latin typeface="Century Gothic" charset="0"/>
              <a:ea typeface="Century Gothic" charset="0"/>
              <a:cs typeface="Century Gothic" charset="0"/>
            </a:rPr>
            <a:t>4.3.</a:t>
          </a:r>
          <a:r>
            <a:rPr lang="en-US" sz="900" baseline="0">
              <a:latin typeface="Century Gothic" charset="0"/>
              <a:ea typeface="Century Gothic" charset="0"/>
              <a:cs typeface="Century Gothic" charset="0"/>
            </a:rPr>
            <a:t>3 Subtask</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2080-A2A9-4C92-9B14-877F98A039B8}">
  <sheetPr>
    <tabColor rgb="FFFF0000"/>
    <pageSetUpPr fitToPage="1"/>
  </sheetPr>
  <dimension ref="A1:HL52"/>
  <sheetViews>
    <sheetView showGridLines="0" tabSelected="1" zoomScaleNormal="100" workbookViewId="0">
      <pane ySplit="8" topLeftCell="A12" activePane="bottomLeft" state="frozen"/>
      <selection pane="bottomLeft" activeCell="I34" sqref="I34"/>
    </sheetView>
  </sheetViews>
  <sheetFormatPr defaultColWidth="8.4140625" defaultRowHeight="12.5" x14ac:dyDescent="0.25"/>
  <cols>
    <col min="1" max="1" width="13.33203125" style="16" customWidth="1"/>
    <col min="2" max="2" width="24.33203125" style="16" customWidth="1"/>
    <col min="3" max="3" width="9.6640625" style="16" customWidth="1"/>
    <col min="4" max="4" width="6.25" style="16" bestFit="1" customWidth="1"/>
    <col min="5" max="5" width="12.4140625" style="16" bestFit="1" customWidth="1"/>
    <col min="6" max="6" width="13.08203125" style="16" customWidth="1"/>
    <col min="7" max="7" width="12.1640625" style="16" bestFit="1" customWidth="1"/>
    <col min="8" max="8" width="7.83203125" style="16" customWidth="1"/>
    <col min="9" max="9" width="6.6640625" style="16" customWidth="1"/>
    <col min="10" max="10" width="1.6640625" style="16" customWidth="1"/>
    <col min="11" max="15" width="2.5" style="16" bestFit="1" customWidth="1"/>
    <col min="16" max="17" width="2.5" style="16" customWidth="1"/>
    <col min="18" max="28" width="2.5" style="16" bestFit="1" customWidth="1"/>
    <col min="29" max="29" width="1.83203125" style="16" bestFit="1" customWidth="1"/>
    <col min="30" max="31" width="2" style="16" bestFit="1" customWidth="1"/>
    <col min="32" max="32" width="2.08203125" style="16" bestFit="1" customWidth="1"/>
    <col min="33" max="33" width="1.83203125" style="16" bestFit="1" customWidth="1"/>
    <col min="34" max="34" width="2.33203125" style="16" bestFit="1" customWidth="1"/>
    <col min="35" max="36" width="1.83203125" style="16" bestFit="1" customWidth="1"/>
    <col min="37" max="37" width="2" style="16" bestFit="1" customWidth="1"/>
    <col min="38" max="59" width="2.5" style="16" bestFit="1" customWidth="1"/>
    <col min="60" max="60" width="2.08203125" style="16" bestFit="1" customWidth="1"/>
    <col min="61" max="61" width="1.83203125" style="16" bestFit="1" customWidth="1"/>
    <col min="62" max="62" width="2.33203125" style="16" bestFit="1" customWidth="1"/>
    <col min="63" max="64" width="1.83203125" style="16" bestFit="1" customWidth="1"/>
    <col min="65" max="66" width="2" style="16" bestFit="1" customWidth="1"/>
    <col min="67" max="67" width="2.08203125" style="16" bestFit="1" customWidth="1"/>
    <col min="68" max="68" width="1.83203125" style="16" bestFit="1" customWidth="1"/>
    <col min="69" max="90" width="2.5" style="16" bestFit="1" customWidth="1"/>
    <col min="91" max="92" width="1.83203125" style="16" bestFit="1" customWidth="1"/>
    <col min="93" max="94" width="2" style="16" bestFit="1" customWidth="1"/>
    <col min="95" max="95" width="2.08203125" style="16" bestFit="1" customWidth="1"/>
    <col min="96" max="96" width="1.83203125" style="16" bestFit="1" customWidth="1"/>
    <col min="97" max="97" width="2.33203125" style="16" bestFit="1" customWidth="1"/>
    <col min="98" max="99" width="1.83203125" style="16" bestFit="1" customWidth="1"/>
    <col min="100" max="119" width="2.5" style="16" bestFit="1" customWidth="1"/>
    <col min="120" max="120" width="1.83203125" style="16" bestFit="1" customWidth="1"/>
    <col min="121" max="122" width="2" style="16" bestFit="1" customWidth="1"/>
    <col min="123" max="123" width="2.08203125" style="16" bestFit="1" customWidth="1"/>
    <col min="124" max="124" width="1.83203125" style="16" bestFit="1" customWidth="1"/>
    <col min="125" max="125" width="2.33203125" style="16" bestFit="1" customWidth="1"/>
    <col min="126" max="127" width="1.83203125" style="16" bestFit="1" customWidth="1"/>
    <col min="128" max="128" width="2" style="16" bestFit="1" customWidth="1"/>
    <col min="129" max="150" width="2.5" style="16" bestFit="1" customWidth="1"/>
    <col min="151" max="151" width="2.08203125" style="16" bestFit="1" customWidth="1"/>
    <col min="152" max="152" width="1.83203125" style="16" bestFit="1" customWidth="1"/>
    <col min="153" max="153" width="2.33203125" style="16" bestFit="1" customWidth="1"/>
    <col min="154" max="155" width="1.83203125" style="16" bestFit="1" customWidth="1"/>
    <col min="156" max="157" width="2" style="16" bestFit="1" customWidth="1"/>
    <col min="158" max="158" width="2.08203125" style="16" bestFit="1" customWidth="1"/>
    <col min="159" max="159" width="1.83203125" style="16" bestFit="1" customWidth="1"/>
    <col min="160" max="169" width="2.5" style="16" bestFit="1" customWidth="1"/>
    <col min="170" max="171" width="2.5" style="16" hidden="1" customWidth="1"/>
    <col min="172" max="16384" width="8.4140625" style="16"/>
  </cols>
  <sheetData>
    <row r="1" spans="1:220" ht="18.75" customHeight="1" x14ac:dyDescent="0.3">
      <c r="AO1" s="17" t="s">
        <v>66</v>
      </c>
      <c r="AP1" s="17"/>
      <c r="AQ1" s="18"/>
      <c r="AR1" s="17" t="s">
        <v>67</v>
      </c>
      <c r="AS1" s="17"/>
      <c r="AT1" s="17"/>
      <c r="AU1" s="17"/>
      <c r="AV1" s="17"/>
    </row>
    <row r="2" spans="1:220" ht="21" x14ac:dyDescent="0.3">
      <c r="A2" s="19" t="s">
        <v>68</v>
      </c>
      <c r="B2" s="20"/>
      <c r="C2" s="20"/>
      <c r="D2" s="20"/>
      <c r="E2" s="20"/>
      <c r="F2" s="20"/>
      <c r="I2" s="21"/>
      <c r="K2" s="126" t="s">
        <v>69</v>
      </c>
      <c r="L2" s="127"/>
      <c r="M2" s="127"/>
      <c r="N2" s="127"/>
      <c r="O2" s="127"/>
      <c r="P2" s="127"/>
      <c r="Q2" s="127"/>
      <c r="R2" s="127"/>
      <c r="S2" s="127"/>
      <c r="T2" s="127"/>
      <c r="U2" s="127"/>
      <c r="V2" s="127"/>
      <c r="W2" s="127"/>
      <c r="X2" s="127"/>
      <c r="Y2" s="127"/>
      <c r="Z2" s="127"/>
      <c r="AA2" s="127"/>
      <c r="AB2" s="127"/>
      <c r="AC2" s="127"/>
      <c r="AD2" s="127"/>
      <c r="AE2" s="127"/>
      <c r="AO2" s="17" t="s">
        <v>70</v>
      </c>
      <c r="AP2" s="17"/>
      <c r="AQ2" s="22"/>
      <c r="AR2" s="17" t="s">
        <v>71</v>
      </c>
      <c r="AS2" s="17"/>
      <c r="AT2" s="17"/>
      <c r="AU2" s="17"/>
      <c r="AV2" s="17"/>
    </row>
    <row r="3" spans="1:220" ht="18" customHeight="1" x14ac:dyDescent="0.25">
      <c r="A3" s="23" t="s">
        <v>72</v>
      </c>
      <c r="B3" s="24"/>
      <c r="C3" s="24"/>
      <c r="D3" s="25"/>
      <c r="E3" s="26"/>
      <c r="F3" s="26"/>
      <c r="H3" s="27"/>
    </row>
    <row r="4" spans="1:220" ht="14.5" x14ac:dyDescent="0.25">
      <c r="A4" s="28"/>
      <c r="B4" s="29"/>
      <c r="H4" s="27"/>
      <c r="K4" s="30"/>
      <c r="L4" s="30"/>
      <c r="M4" s="30"/>
      <c r="N4" s="30"/>
      <c r="O4" s="30"/>
      <c r="P4" s="30"/>
      <c r="Q4" s="30"/>
      <c r="R4" s="30"/>
      <c r="S4" s="30"/>
      <c r="T4" s="30"/>
      <c r="U4" s="30"/>
      <c r="V4" s="30"/>
      <c r="W4" s="30"/>
      <c r="X4" s="30"/>
      <c r="Y4" s="30"/>
      <c r="Z4" s="30"/>
      <c r="AA4" s="30"/>
    </row>
    <row r="5" spans="1:220" ht="17.25" customHeight="1" x14ac:dyDescent="0.3">
      <c r="A5" s="31"/>
      <c r="B5" s="32" t="s">
        <v>73</v>
      </c>
      <c r="C5" s="128">
        <v>45231</v>
      </c>
      <c r="D5" s="128"/>
      <c r="E5" s="128"/>
      <c r="F5" s="31"/>
      <c r="G5" s="32" t="s">
        <v>74</v>
      </c>
      <c r="H5" s="33">
        <v>23</v>
      </c>
      <c r="I5" s="29"/>
      <c r="J5" s="34"/>
      <c r="K5" s="122" t="str">
        <f>"Week "&amp;(K7-($C$5-WEEKDAY($C$5,1)+2))/7+1</f>
        <v>Week 23</v>
      </c>
      <c r="L5" s="123"/>
      <c r="M5" s="123"/>
      <c r="N5" s="123"/>
      <c r="O5" s="123"/>
      <c r="P5" s="123"/>
      <c r="Q5" s="124"/>
      <c r="R5" s="122" t="str">
        <f>"Week "&amp;(R7-($C$5-WEEKDAY($C$5,1)+2))/7+1</f>
        <v>Week 24</v>
      </c>
      <c r="S5" s="123"/>
      <c r="T5" s="123"/>
      <c r="U5" s="123"/>
      <c r="V5" s="123"/>
      <c r="W5" s="123"/>
      <c r="X5" s="124"/>
      <c r="Y5" s="122" t="str">
        <f>"Week "&amp;(Y7-($C$5-WEEKDAY($C$5,1)+2))/7+1</f>
        <v>Week 25</v>
      </c>
      <c r="Z5" s="123"/>
      <c r="AA5" s="123"/>
      <c r="AB5" s="123"/>
      <c r="AC5" s="123"/>
      <c r="AD5" s="123"/>
      <c r="AE5" s="124"/>
      <c r="AF5" s="122" t="str">
        <f>"Week "&amp;(AF7-($C$5-WEEKDAY($C$5,1)+2))/7+1</f>
        <v>Week 26</v>
      </c>
      <c r="AG5" s="123"/>
      <c r="AH5" s="123"/>
      <c r="AI5" s="123"/>
      <c r="AJ5" s="123"/>
      <c r="AK5" s="123"/>
      <c r="AL5" s="124"/>
      <c r="AM5" s="122" t="str">
        <f>"Week "&amp;(AM7-($C$5-WEEKDAY($C$5,1)+2))/7+1</f>
        <v>Week 27</v>
      </c>
      <c r="AN5" s="123"/>
      <c r="AO5" s="123"/>
      <c r="AP5" s="123"/>
      <c r="AQ5" s="123"/>
      <c r="AR5" s="123"/>
      <c r="AS5" s="124"/>
      <c r="AT5" s="122" t="str">
        <f>"Week "&amp;(AT7-($C$5-WEEKDAY($C$5,1)+2))/7+1</f>
        <v>Week 28</v>
      </c>
      <c r="AU5" s="123"/>
      <c r="AV5" s="123"/>
      <c r="AW5" s="123"/>
      <c r="AX5" s="123"/>
      <c r="AY5" s="123"/>
      <c r="AZ5" s="124"/>
      <c r="BA5" s="122" t="str">
        <f>"Week "&amp;(BA7-($C$5-WEEKDAY($C$5,1)+2))/7+1</f>
        <v>Week 29</v>
      </c>
      <c r="BB5" s="123"/>
      <c r="BC5" s="123"/>
      <c r="BD5" s="123"/>
      <c r="BE5" s="123"/>
      <c r="BF5" s="123"/>
      <c r="BG5" s="124"/>
      <c r="BH5" s="122" t="str">
        <f>"Week "&amp;(BH7-($C$5-WEEKDAY($C$5,1)+2))/7+1</f>
        <v>Week 30</v>
      </c>
      <c r="BI5" s="123"/>
      <c r="BJ5" s="123"/>
      <c r="BK5" s="123"/>
      <c r="BL5" s="123"/>
      <c r="BM5" s="123"/>
      <c r="BN5" s="124"/>
      <c r="BO5" s="122"/>
      <c r="BP5" s="123"/>
      <c r="BQ5" s="123"/>
      <c r="BR5" s="123"/>
      <c r="BS5" s="123"/>
      <c r="BT5" s="123"/>
      <c r="BU5" s="124"/>
      <c r="BV5" s="122"/>
      <c r="BW5" s="123"/>
      <c r="BX5" s="123"/>
      <c r="BY5" s="123"/>
      <c r="BZ5" s="123"/>
      <c r="CA5" s="123"/>
      <c r="CB5" s="124"/>
      <c r="CC5" s="122"/>
      <c r="CD5" s="123"/>
      <c r="CE5" s="123"/>
      <c r="CF5" s="123"/>
      <c r="CG5" s="123"/>
      <c r="CH5" s="123"/>
      <c r="CI5" s="124"/>
      <c r="CJ5" s="122"/>
      <c r="CK5" s="123"/>
      <c r="CL5" s="123"/>
      <c r="CM5" s="123"/>
      <c r="CN5" s="123"/>
      <c r="CO5" s="123"/>
      <c r="CP5" s="124"/>
      <c r="CQ5" s="122"/>
      <c r="CR5" s="123"/>
      <c r="CS5" s="123"/>
      <c r="CT5" s="123"/>
      <c r="CU5" s="123"/>
      <c r="CV5" s="123"/>
      <c r="CW5" s="124"/>
      <c r="CX5" s="122"/>
      <c r="CY5" s="123"/>
      <c r="CZ5" s="123"/>
      <c r="DA5" s="123"/>
      <c r="DB5" s="123"/>
      <c r="DC5" s="123"/>
      <c r="DD5" s="124"/>
      <c r="DE5" s="122"/>
      <c r="DF5" s="123"/>
      <c r="DG5" s="123"/>
      <c r="DH5" s="123"/>
      <c r="DI5" s="123"/>
      <c r="DJ5" s="123"/>
      <c r="DK5" s="124"/>
      <c r="DL5" s="122"/>
      <c r="DM5" s="123"/>
      <c r="DN5" s="123"/>
      <c r="DO5" s="123"/>
      <c r="DP5" s="123"/>
      <c r="DQ5" s="123"/>
      <c r="DR5" s="124"/>
      <c r="DS5" s="122"/>
      <c r="DT5" s="123"/>
      <c r="DU5" s="123"/>
      <c r="DV5" s="123"/>
      <c r="DW5" s="123"/>
      <c r="DX5" s="123"/>
      <c r="DY5" s="124"/>
      <c r="DZ5" s="122"/>
      <c r="EA5" s="123"/>
      <c r="EB5" s="123"/>
      <c r="EC5" s="123"/>
      <c r="ED5" s="123"/>
      <c r="EE5" s="123"/>
      <c r="EF5" s="124"/>
      <c r="EG5" s="122"/>
      <c r="EH5" s="123"/>
      <c r="EI5" s="123"/>
      <c r="EJ5" s="123"/>
      <c r="EK5" s="123"/>
      <c r="EL5" s="123"/>
      <c r="EM5" s="124"/>
      <c r="EN5" s="122"/>
      <c r="EO5" s="123"/>
      <c r="EP5" s="123"/>
      <c r="EQ5" s="123"/>
      <c r="ER5" s="123"/>
      <c r="ES5" s="123"/>
      <c r="ET5" s="124"/>
      <c r="EU5" s="122"/>
      <c r="EV5" s="123"/>
      <c r="EW5" s="123"/>
      <c r="EX5" s="123"/>
      <c r="EY5" s="123"/>
      <c r="EZ5" s="123"/>
      <c r="FA5" s="124"/>
      <c r="FB5" s="122"/>
      <c r="FC5" s="123"/>
      <c r="FD5" s="123"/>
      <c r="FE5" s="123"/>
      <c r="FF5" s="123"/>
      <c r="FG5" s="123"/>
      <c r="FH5" s="124"/>
      <c r="FI5" s="122"/>
      <c r="FJ5" s="123"/>
      <c r="FK5" s="123"/>
      <c r="FL5" s="123"/>
      <c r="FM5" s="123"/>
      <c r="FN5" s="123"/>
      <c r="FO5" s="124"/>
      <c r="FP5" s="122"/>
      <c r="FQ5" s="123"/>
      <c r="FR5" s="123"/>
      <c r="FS5" s="123"/>
      <c r="FT5" s="123"/>
      <c r="FU5" s="123"/>
      <c r="FV5" s="124"/>
      <c r="FW5" s="122"/>
      <c r="FX5" s="123"/>
      <c r="FY5" s="123"/>
      <c r="FZ5" s="123"/>
      <c r="GA5" s="123"/>
      <c r="GB5" s="123"/>
      <c r="GC5" s="124"/>
      <c r="GD5" s="122"/>
      <c r="GE5" s="123"/>
      <c r="GF5" s="123"/>
      <c r="GG5" s="123"/>
      <c r="GH5" s="123"/>
      <c r="GI5" s="123"/>
      <c r="GJ5" s="124"/>
      <c r="GK5" s="122"/>
      <c r="GL5" s="123"/>
      <c r="GM5" s="123"/>
      <c r="GN5" s="123"/>
      <c r="GO5" s="123"/>
      <c r="GP5" s="123"/>
      <c r="GQ5" s="124"/>
      <c r="GR5" s="122"/>
      <c r="GS5" s="123"/>
      <c r="GT5" s="123"/>
      <c r="GU5" s="123"/>
      <c r="GV5" s="123"/>
      <c r="GW5" s="123"/>
      <c r="GX5" s="124"/>
      <c r="GY5" s="122"/>
      <c r="GZ5" s="123"/>
      <c r="HA5" s="123"/>
      <c r="HB5" s="123"/>
      <c r="HC5" s="123"/>
      <c r="HD5" s="123"/>
      <c r="HE5" s="124"/>
      <c r="HF5" s="122"/>
      <c r="HG5" s="123"/>
      <c r="HH5" s="123"/>
      <c r="HI5" s="123"/>
      <c r="HJ5" s="123"/>
      <c r="HK5" s="123"/>
      <c r="HL5" s="124"/>
    </row>
    <row r="6" spans="1:220" ht="17.25" customHeight="1" x14ac:dyDescent="0.3">
      <c r="A6" s="31"/>
      <c r="B6" s="32" t="s">
        <v>75</v>
      </c>
      <c r="C6" s="125" t="s">
        <v>76</v>
      </c>
      <c r="D6" s="125"/>
      <c r="E6" s="125"/>
      <c r="F6" s="31"/>
      <c r="G6" s="31"/>
      <c r="H6" s="31"/>
      <c r="I6" s="31"/>
      <c r="J6" s="34"/>
      <c r="K6" s="119">
        <f>K7</f>
        <v>45383</v>
      </c>
      <c r="L6" s="120"/>
      <c r="M6" s="120"/>
      <c r="N6" s="120"/>
      <c r="O6" s="120"/>
      <c r="P6" s="120"/>
      <c r="Q6" s="121"/>
      <c r="R6" s="119">
        <f>R7</f>
        <v>45390</v>
      </c>
      <c r="S6" s="120"/>
      <c r="T6" s="120"/>
      <c r="U6" s="120"/>
      <c r="V6" s="120"/>
      <c r="W6" s="120"/>
      <c r="X6" s="121"/>
      <c r="Y6" s="119">
        <f>Y7</f>
        <v>45397</v>
      </c>
      <c r="Z6" s="120"/>
      <c r="AA6" s="120"/>
      <c r="AB6" s="120"/>
      <c r="AC6" s="120"/>
      <c r="AD6" s="120"/>
      <c r="AE6" s="121"/>
      <c r="AF6" s="119">
        <f>AF7</f>
        <v>45404</v>
      </c>
      <c r="AG6" s="120"/>
      <c r="AH6" s="120"/>
      <c r="AI6" s="120"/>
      <c r="AJ6" s="120"/>
      <c r="AK6" s="120"/>
      <c r="AL6" s="121"/>
      <c r="AM6" s="119">
        <f>AM7</f>
        <v>45411</v>
      </c>
      <c r="AN6" s="120"/>
      <c r="AO6" s="120"/>
      <c r="AP6" s="120"/>
      <c r="AQ6" s="120"/>
      <c r="AR6" s="120"/>
      <c r="AS6" s="121"/>
      <c r="AT6" s="119">
        <f>AT7</f>
        <v>45418</v>
      </c>
      <c r="AU6" s="120"/>
      <c r="AV6" s="120"/>
      <c r="AW6" s="120"/>
      <c r="AX6" s="120"/>
      <c r="AY6" s="120"/>
      <c r="AZ6" s="121"/>
      <c r="BA6" s="119">
        <f>BA7</f>
        <v>45425</v>
      </c>
      <c r="BB6" s="120"/>
      <c r="BC6" s="120"/>
      <c r="BD6" s="120"/>
      <c r="BE6" s="120"/>
      <c r="BF6" s="120"/>
      <c r="BG6" s="121"/>
      <c r="BH6" s="119">
        <f>BH7</f>
        <v>45432</v>
      </c>
      <c r="BI6" s="120"/>
      <c r="BJ6" s="120"/>
      <c r="BK6" s="120"/>
      <c r="BL6" s="120"/>
      <c r="BM6" s="120"/>
      <c r="BN6" s="121"/>
      <c r="BO6" s="119"/>
      <c r="BP6" s="120"/>
      <c r="BQ6" s="120"/>
      <c r="BR6" s="120"/>
      <c r="BS6" s="120"/>
      <c r="BT6" s="120"/>
      <c r="BU6" s="121"/>
      <c r="BV6" s="119"/>
      <c r="BW6" s="120"/>
      <c r="BX6" s="120"/>
      <c r="BY6" s="120"/>
      <c r="BZ6" s="120"/>
      <c r="CA6" s="120"/>
      <c r="CB6" s="121"/>
      <c r="CC6" s="119"/>
      <c r="CD6" s="120"/>
      <c r="CE6" s="120"/>
      <c r="CF6" s="120"/>
      <c r="CG6" s="120"/>
      <c r="CH6" s="120"/>
      <c r="CI6" s="121"/>
      <c r="CJ6" s="119"/>
      <c r="CK6" s="120"/>
      <c r="CL6" s="120"/>
      <c r="CM6" s="120"/>
      <c r="CN6" s="120"/>
      <c r="CO6" s="120"/>
      <c r="CP6" s="121"/>
      <c r="CQ6" s="119"/>
      <c r="CR6" s="120"/>
      <c r="CS6" s="120"/>
      <c r="CT6" s="120"/>
      <c r="CU6" s="120"/>
      <c r="CV6" s="120"/>
      <c r="CW6" s="121"/>
      <c r="CX6" s="119"/>
      <c r="CY6" s="120"/>
      <c r="CZ6" s="120"/>
      <c r="DA6" s="120"/>
      <c r="DB6" s="120"/>
      <c r="DC6" s="120"/>
      <c r="DD6" s="121"/>
      <c r="DE6" s="119"/>
      <c r="DF6" s="120"/>
      <c r="DG6" s="120"/>
      <c r="DH6" s="120"/>
      <c r="DI6" s="120"/>
      <c r="DJ6" s="120"/>
      <c r="DK6" s="121"/>
      <c r="DL6" s="119"/>
      <c r="DM6" s="120"/>
      <c r="DN6" s="120"/>
      <c r="DO6" s="120"/>
      <c r="DP6" s="120"/>
      <c r="DQ6" s="120"/>
      <c r="DR6" s="121"/>
      <c r="DS6" s="119"/>
      <c r="DT6" s="120"/>
      <c r="DU6" s="120"/>
      <c r="DV6" s="120"/>
      <c r="DW6" s="120"/>
      <c r="DX6" s="120"/>
      <c r="DY6" s="121"/>
      <c r="DZ6" s="119"/>
      <c r="EA6" s="120"/>
      <c r="EB6" s="120"/>
      <c r="EC6" s="120"/>
      <c r="ED6" s="120"/>
      <c r="EE6" s="120"/>
      <c r="EF6" s="121"/>
      <c r="EG6" s="119"/>
      <c r="EH6" s="120"/>
      <c r="EI6" s="120"/>
      <c r="EJ6" s="120"/>
      <c r="EK6" s="120"/>
      <c r="EL6" s="120"/>
      <c r="EM6" s="121"/>
      <c r="EN6" s="119"/>
      <c r="EO6" s="120"/>
      <c r="EP6" s="120"/>
      <c r="EQ6" s="120"/>
      <c r="ER6" s="120"/>
      <c r="ES6" s="120"/>
      <c r="ET6" s="121"/>
      <c r="EU6" s="119"/>
      <c r="EV6" s="120"/>
      <c r="EW6" s="120"/>
      <c r="EX6" s="120"/>
      <c r="EY6" s="120"/>
      <c r="EZ6" s="120"/>
      <c r="FA6" s="121"/>
      <c r="FB6" s="119"/>
      <c r="FC6" s="120"/>
      <c r="FD6" s="120"/>
      <c r="FE6" s="120"/>
      <c r="FF6" s="120"/>
      <c r="FG6" s="120"/>
      <c r="FH6" s="121"/>
      <c r="FI6" s="119"/>
      <c r="FJ6" s="120"/>
      <c r="FK6" s="120"/>
      <c r="FL6" s="120"/>
      <c r="FM6" s="120"/>
      <c r="FN6" s="120"/>
      <c r="FO6" s="121"/>
      <c r="FP6" s="119"/>
      <c r="FQ6" s="120"/>
      <c r="FR6" s="120"/>
      <c r="FS6" s="120"/>
      <c r="FT6" s="120"/>
      <c r="FU6" s="120"/>
      <c r="FV6" s="121"/>
      <c r="FW6" s="119"/>
      <c r="FX6" s="120"/>
      <c r="FY6" s="120"/>
      <c r="FZ6" s="120"/>
      <c r="GA6" s="120"/>
      <c r="GB6" s="120"/>
      <c r="GC6" s="121"/>
      <c r="GD6" s="119"/>
      <c r="GE6" s="120"/>
      <c r="GF6" s="120"/>
      <c r="GG6" s="120"/>
      <c r="GH6" s="120"/>
      <c r="GI6" s="120"/>
      <c r="GJ6" s="121"/>
      <c r="GK6" s="119"/>
      <c r="GL6" s="120"/>
      <c r="GM6" s="120"/>
      <c r="GN6" s="120"/>
      <c r="GO6" s="120"/>
      <c r="GP6" s="120"/>
      <c r="GQ6" s="121"/>
      <c r="GR6" s="119"/>
      <c r="GS6" s="120"/>
      <c r="GT6" s="120"/>
      <c r="GU6" s="120"/>
      <c r="GV6" s="120"/>
      <c r="GW6" s="120"/>
      <c r="GX6" s="121"/>
      <c r="GY6" s="119"/>
      <c r="GZ6" s="120"/>
      <c r="HA6" s="120"/>
      <c r="HB6" s="120"/>
      <c r="HC6" s="120"/>
      <c r="HD6" s="120"/>
      <c r="HE6" s="121"/>
      <c r="HF6" s="119"/>
      <c r="HG6" s="120"/>
      <c r="HH6" s="120"/>
      <c r="HI6" s="120"/>
      <c r="HJ6" s="120"/>
      <c r="HK6" s="120"/>
      <c r="HL6" s="121"/>
    </row>
    <row r="7" spans="1:220" ht="24.5" thickBot="1" x14ac:dyDescent="0.3">
      <c r="A7" s="35" t="s">
        <v>77</v>
      </c>
      <c r="B7" s="35" t="s">
        <v>78</v>
      </c>
      <c r="C7" s="36" t="s">
        <v>79</v>
      </c>
      <c r="D7" s="37" t="s">
        <v>80</v>
      </c>
      <c r="E7" s="38" t="s">
        <v>81</v>
      </c>
      <c r="F7" s="38" t="s">
        <v>82</v>
      </c>
      <c r="G7" s="36" t="s">
        <v>83</v>
      </c>
      <c r="H7" s="36" t="s">
        <v>84</v>
      </c>
      <c r="I7" s="36" t="s">
        <v>85</v>
      </c>
      <c r="J7" s="36"/>
      <c r="K7" s="39">
        <f>C5-WEEKDAY(C5,1)+2+7*(H5-1)</f>
        <v>45383</v>
      </c>
      <c r="L7" s="40">
        <f t="shared" ref="L7:BN7" si="0">K7+1</f>
        <v>45384</v>
      </c>
      <c r="M7" s="40">
        <f t="shared" si="0"/>
        <v>45385</v>
      </c>
      <c r="N7" s="40">
        <f t="shared" si="0"/>
        <v>45386</v>
      </c>
      <c r="O7" s="40">
        <f t="shared" si="0"/>
        <v>45387</v>
      </c>
      <c r="P7" s="40">
        <f t="shared" si="0"/>
        <v>45388</v>
      </c>
      <c r="Q7" s="41">
        <f t="shared" si="0"/>
        <v>45389</v>
      </c>
      <c r="R7" s="39">
        <f t="shared" si="0"/>
        <v>45390</v>
      </c>
      <c r="S7" s="40">
        <f t="shared" si="0"/>
        <v>45391</v>
      </c>
      <c r="T7" s="40">
        <f t="shared" si="0"/>
        <v>45392</v>
      </c>
      <c r="U7" s="40">
        <f t="shared" si="0"/>
        <v>45393</v>
      </c>
      <c r="V7" s="40">
        <f t="shared" si="0"/>
        <v>45394</v>
      </c>
      <c r="W7" s="40">
        <f t="shared" si="0"/>
        <v>45395</v>
      </c>
      <c r="X7" s="41">
        <f t="shared" si="0"/>
        <v>45396</v>
      </c>
      <c r="Y7" s="39">
        <f t="shared" si="0"/>
        <v>45397</v>
      </c>
      <c r="Z7" s="40">
        <f t="shared" si="0"/>
        <v>45398</v>
      </c>
      <c r="AA7" s="40">
        <f t="shared" si="0"/>
        <v>45399</v>
      </c>
      <c r="AB7" s="40">
        <f t="shared" si="0"/>
        <v>45400</v>
      </c>
      <c r="AC7" s="40">
        <f t="shared" si="0"/>
        <v>45401</v>
      </c>
      <c r="AD7" s="40">
        <f t="shared" si="0"/>
        <v>45402</v>
      </c>
      <c r="AE7" s="41">
        <f t="shared" si="0"/>
        <v>45403</v>
      </c>
      <c r="AF7" s="39">
        <f t="shared" si="0"/>
        <v>45404</v>
      </c>
      <c r="AG7" s="40">
        <f t="shared" si="0"/>
        <v>45405</v>
      </c>
      <c r="AH7" s="40">
        <f t="shared" si="0"/>
        <v>45406</v>
      </c>
      <c r="AI7" s="40">
        <f t="shared" si="0"/>
        <v>45407</v>
      </c>
      <c r="AJ7" s="40">
        <f t="shared" si="0"/>
        <v>45408</v>
      </c>
      <c r="AK7" s="40">
        <f t="shared" si="0"/>
        <v>45409</v>
      </c>
      <c r="AL7" s="41">
        <f t="shared" si="0"/>
        <v>45410</v>
      </c>
      <c r="AM7" s="39">
        <f t="shared" si="0"/>
        <v>45411</v>
      </c>
      <c r="AN7" s="40">
        <f t="shared" si="0"/>
        <v>45412</v>
      </c>
      <c r="AO7" s="40">
        <f t="shared" si="0"/>
        <v>45413</v>
      </c>
      <c r="AP7" s="40">
        <f t="shared" si="0"/>
        <v>45414</v>
      </c>
      <c r="AQ7" s="40">
        <f t="shared" si="0"/>
        <v>45415</v>
      </c>
      <c r="AR7" s="40">
        <f t="shared" si="0"/>
        <v>45416</v>
      </c>
      <c r="AS7" s="41">
        <f t="shared" si="0"/>
        <v>45417</v>
      </c>
      <c r="AT7" s="39">
        <f t="shared" si="0"/>
        <v>45418</v>
      </c>
      <c r="AU7" s="40">
        <f t="shared" si="0"/>
        <v>45419</v>
      </c>
      <c r="AV7" s="40">
        <f t="shared" si="0"/>
        <v>45420</v>
      </c>
      <c r="AW7" s="40">
        <f t="shared" si="0"/>
        <v>45421</v>
      </c>
      <c r="AX7" s="40">
        <f t="shared" si="0"/>
        <v>45422</v>
      </c>
      <c r="AY7" s="40">
        <f t="shared" si="0"/>
        <v>45423</v>
      </c>
      <c r="AZ7" s="41">
        <f t="shared" si="0"/>
        <v>45424</v>
      </c>
      <c r="BA7" s="39">
        <f t="shared" si="0"/>
        <v>45425</v>
      </c>
      <c r="BB7" s="40">
        <f t="shared" si="0"/>
        <v>45426</v>
      </c>
      <c r="BC7" s="40">
        <f t="shared" si="0"/>
        <v>45427</v>
      </c>
      <c r="BD7" s="40">
        <f t="shared" si="0"/>
        <v>45428</v>
      </c>
      <c r="BE7" s="40">
        <f t="shared" si="0"/>
        <v>45429</v>
      </c>
      <c r="BF7" s="40">
        <f t="shared" si="0"/>
        <v>45430</v>
      </c>
      <c r="BG7" s="41">
        <f t="shared" si="0"/>
        <v>45431</v>
      </c>
      <c r="BH7" s="39">
        <f t="shared" si="0"/>
        <v>45432</v>
      </c>
      <c r="BI7" s="40">
        <f t="shared" si="0"/>
        <v>45433</v>
      </c>
      <c r="BJ7" s="40">
        <f t="shared" si="0"/>
        <v>45434</v>
      </c>
      <c r="BK7" s="40">
        <f t="shared" si="0"/>
        <v>45435</v>
      </c>
      <c r="BL7" s="40">
        <f t="shared" si="0"/>
        <v>45436</v>
      </c>
      <c r="BM7" s="40">
        <f t="shared" si="0"/>
        <v>45437</v>
      </c>
      <c r="BN7" s="41">
        <f t="shared" si="0"/>
        <v>45438</v>
      </c>
      <c r="BO7" s="39"/>
      <c r="BP7" s="40"/>
      <c r="BQ7" s="40"/>
      <c r="BR7" s="40"/>
      <c r="BS7" s="40"/>
      <c r="BT7" s="40"/>
      <c r="BU7" s="41"/>
      <c r="BV7" s="39"/>
      <c r="BW7" s="40"/>
      <c r="BX7" s="40"/>
      <c r="BY7" s="40"/>
      <c r="BZ7" s="40"/>
      <c r="CA7" s="40"/>
      <c r="CB7" s="41"/>
      <c r="CC7" s="39"/>
      <c r="CD7" s="40"/>
      <c r="CE7" s="40"/>
      <c r="CF7" s="40"/>
      <c r="CG7" s="40"/>
      <c r="CH7" s="40"/>
      <c r="CI7" s="41"/>
      <c r="CJ7" s="39"/>
      <c r="CK7" s="40"/>
      <c r="CL7" s="40"/>
      <c r="CM7" s="40"/>
      <c r="CN7" s="40"/>
      <c r="CO7" s="40"/>
      <c r="CP7" s="41"/>
      <c r="CQ7" s="39"/>
      <c r="CR7" s="40"/>
      <c r="CS7" s="40"/>
      <c r="CT7" s="40"/>
      <c r="CU7" s="40"/>
      <c r="CV7" s="40"/>
      <c r="CW7" s="41"/>
      <c r="CX7" s="39"/>
      <c r="CY7" s="40"/>
      <c r="CZ7" s="40"/>
      <c r="DA7" s="40"/>
      <c r="DB7" s="40"/>
      <c r="DC7" s="40"/>
      <c r="DD7" s="41"/>
      <c r="DE7" s="39"/>
      <c r="DF7" s="40"/>
      <c r="DG7" s="40"/>
      <c r="DH7" s="40"/>
      <c r="DI7" s="40"/>
      <c r="DJ7" s="40"/>
      <c r="DK7" s="41"/>
      <c r="DL7" s="39"/>
      <c r="DM7" s="40"/>
      <c r="DN7" s="40"/>
      <c r="DO7" s="40"/>
      <c r="DP7" s="40"/>
      <c r="DQ7" s="40"/>
      <c r="DR7" s="41"/>
      <c r="DS7" s="39"/>
      <c r="DT7" s="40"/>
      <c r="DU7" s="40"/>
      <c r="DV7" s="40"/>
      <c r="DW7" s="40"/>
      <c r="DX7" s="40"/>
      <c r="DY7" s="41"/>
      <c r="DZ7" s="39"/>
      <c r="EA7" s="40"/>
      <c r="EB7" s="40"/>
      <c r="EC7" s="40"/>
      <c r="ED7" s="40"/>
      <c r="EE7" s="40"/>
      <c r="EF7" s="41"/>
      <c r="EG7" s="39"/>
      <c r="EH7" s="40"/>
      <c r="EI7" s="40"/>
      <c r="EJ7" s="40"/>
      <c r="EK7" s="40"/>
      <c r="EL7" s="40"/>
      <c r="EM7" s="41"/>
      <c r="EN7" s="39"/>
      <c r="EO7" s="40"/>
      <c r="EP7" s="40"/>
      <c r="EQ7" s="40"/>
      <c r="ER7" s="40"/>
      <c r="ES7" s="40"/>
      <c r="ET7" s="41"/>
      <c r="EU7" s="39"/>
      <c r="EV7" s="40"/>
      <c r="EW7" s="40"/>
      <c r="EX7" s="40"/>
      <c r="EY7" s="40"/>
      <c r="EZ7" s="40"/>
      <c r="FA7" s="41"/>
      <c r="FB7" s="39"/>
      <c r="FC7" s="40"/>
      <c r="FD7" s="40"/>
      <c r="FE7" s="40"/>
      <c r="FF7" s="40"/>
      <c r="FG7" s="40"/>
      <c r="FH7" s="41"/>
      <c r="FI7" s="39"/>
      <c r="FJ7" s="40"/>
      <c r="FK7" s="40"/>
      <c r="FL7" s="40"/>
      <c r="FM7" s="40"/>
      <c r="FN7" s="40"/>
      <c r="FO7" s="41"/>
      <c r="FP7" s="39"/>
      <c r="FQ7" s="40"/>
      <c r="FR7" s="40"/>
      <c r="FS7" s="40"/>
      <c r="FT7" s="40"/>
      <c r="FU7" s="40"/>
      <c r="FV7" s="41"/>
      <c r="FW7" s="39"/>
      <c r="FX7" s="40"/>
      <c r="FY7" s="40"/>
      <c r="FZ7" s="40"/>
      <c r="GA7" s="40"/>
      <c r="GB7" s="40"/>
      <c r="GC7" s="41"/>
      <c r="GD7" s="39"/>
      <c r="GE7" s="40"/>
      <c r="GF7" s="40"/>
      <c r="GG7" s="40"/>
      <c r="GH7" s="40"/>
      <c r="GI7" s="40"/>
      <c r="GJ7" s="41"/>
      <c r="GK7" s="39"/>
      <c r="GL7" s="40"/>
      <c r="GM7" s="40"/>
      <c r="GN7" s="40"/>
      <c r="GO7" s="40"/>
      <c r="GP7" s="40"/>
      <c r="GQ7" s="41"/>
      <c r="GR7" s="39"/>
      <c r="GS7" s="40"/>
      <c r="GT7" s="40"/>
      <c r="GU7" s="40"/>
      <c r="GV7" s="40"/>
      <c r="GW7" s="40"/>
      <c r="GX7" s="41"/>
      <c r="GY7" s="39"/>
      <c r="GZ7" s="40"/>
      <c r="HA7" s="40"/>
      <c r="HB7" s="40"/>
      <c r="HC7" s="40"/>
      <c r="HD7" s="40"/>
      <c r="HE7" s="41"/>
      <c r="HF7" s="39"/>
      <c r="HG7" s="40"/>
      <c r="HH7" s="40"/>
      <c r="HI7" s="40"/>
      <c r="HJ7" s="40"/>
      <c r="HK7" s="40"/>
      <c r="HL7" s="41"/>
    </row>
    <row r="8" spans="1:220" s="29" customFormat="1" ht="13" hidden="1" thickBot="1" x14ac:dyDescent="0.3">
      <c r="K8" s="42" t="str">
        <f t="shared" ref="K8:BV8" si="1">CHOOSE(WEEKDAY(K7,1),"S","M","T","W","T","F","S")</f>
        <v>M</v>
      </c>
      <c r="L8" s="43" t="str">
        <f t="shared" si="1"/>
        <v>T</v>
      </c>
      <c r="M8" s="43" t="str">
        <f t="shared" si="1"/>
        <v>W</v>
      </c>
      <c r="N8" s="43" t="str">
        <f t="shared" si="1"/>
        <v>T</v>
      </c>
      <c r="O8" s="43" t="str">
        <f t="shared" si="1"/>
        <v>F</v>
      </c>
      <c r="P8" s="43" t="str">
        <f t="shared" si="1"/>
        <v>S</v>
      </c>
      <c r="Q8" s="44" t="str">
        <f t="shared" si="1"/>
        <v>S</v>
      </c>
      <c r="R8" s="42" t="str">
        <f t="shared" si="1"/>
        <v>M</v>
      </c>
      <c r="S8" s="43" t="str">
        <f t="shared" si="1"/>
        <v>T</v>
      </c>
      <c r="T8" s="43" t="str">
        <f t="shared" si="1"/>
        <v>W</v>
      </c>
      <c r="U8" s="43" t="str">
        <f t="shared" si="1"/>
        <v>T</v>
      </c>
      <c r="V8" s="43" t="str">
        <f t="shared" si="1"/>
        <v>F</v>
      </c>
      <c r="W8" s="43" t="str">
        <f t="shared" si="1"/>
        <v>S</v>
      </c>
      <c r="X8" s="44" t="str">
        <f t="shared" si="1"/>
        <v>S</v>
      </c>
      <c r="Y8" s="42" t="str">
        <f t="shared" si="1"/>
        <v>M</v>
      </c>
      <c r="Z8" s="43" t="str">
        <f t="shared" si="1"/>
        <v>T</v>
      </c>
      <c r="AA8" s="43" t="str">
        <f t="shared" si="1"/>
        <v>W</v>
      </c>
      <c r="AB8" s="43" t="str">
        <f t="shared" si="1"/>
        <v>T</v>
      </c>
      <c r="AC8" s="43" t="str">
        <f t="shared" si="1"/>
        <v>F</v>
      </c>
      <c r="AD8" s="43" t="str">
        <f t="shared" si="1"/>
        <v>S</v>
      </c>
      <c r="AE8" s="44" t="str">
        <f t="shared" si="1"/>
        <v>S</v>
      </c>
      <c r="AF8" s="42" t="str">
        <f t="shared" si="1"/>
        <v>M</v>
      </c>
      <c r="AG8" s="43" t="str">
        <f t="shared" si="1"/>
        <v>T</v>
      </c>
      <c r="AH8" s="43" t="str">
        <f t="shared" si="1"/>
        <v>W</v>
      </c>
      <c r="AI8" s="43" t="str">
        <f t="shared" si="1"/>
        <v>T</v>
      </c>
      <c r="AJ8" s="43" t="str">
        <f t="shared" si="1"/>
        <v>F</v>
      </c>
      <c r="AK8" s="43" t="str">
        <f t="shared" si="1"/>
        <v>S</v>
      </c>
      <c r="AL8" s="44" t="str">
        <f t="shared" si="1"/>
        <v>S</v>
      </c>
      <c r="AM8" s="42" t="str">
        <f t="shared" si="1"/>
        <v>M</v>
      </c>
      <c r="AN8" s="43" t="str">
        <f t="shared" si="1"/>
        <v>T</v>
      </c>
      <c r="AO8" s="43" t="str">
        <f t="shared" si="1"/>
        <v>W</v>
      </c>
      <c r="AP8" s="43" t="str">
        <f t="shared" si="1"/>
        <v>T</v>
      </c>
      <c r="AQ8" s="43" t="str">
        <f t="shared" si="1"/>
        <v>F</v>
      </c>
      <c r="AR8" s="43" t="str">
        <f t="shared" si="1"/>
        <v>S</v>
      </c>
      <c r="AS8" s="44" t="str">
        <f t="shared" si="1"/>
        <v>S</v>
      </c>
      <c r="AT8" s="42" t="str">
        <f t="shared" si="1"/>
        <v>M</v>
      </c>
      <c r="AU8" s="43" t="str">
        <f t="shared" si="1"/>
        <v>T</v>
      </c>
      <c r="AV8" s="43" t="str">
        <f t="shared" si="1"/>
        <v>W</v>
      </c>
      <c r="AW8" s="43" t="str">
        <f t="shared" si="1"/>
        <v>T</v>
      </c>
      <c r="AX8" s="43" t="str">
        <f t="shared" si="1"/>
        <v>F</v>
      </c>
      <c r="AY8" s="43" t="str">
        <f t="shared" si="1"/>
        <v>S</v>
      </c>
      <c r="AZ8" s="44" t="str">
        <f t="shared" si="1"/>
        <v>S</v>
      </c>
      <c r="BA8" s="42" t="str">
        <f t="shared" si="1"/>
        <v>M</v>
      </c>
      <c r="BB8" s="43" t="str">
        <f t="shared" si="1"/>
        <v>T</v>
      </c>
      <c r="BC8" s="43" t="str">
        <f t="shared" si="1"/>
        <v>W</v>
      </c>
      <c r="BD8" s="43" t="str">
        <f t="shared" si="1"/>
        <v>T</v>
      </c>
      <c r="BE8" s="43" t="str">
        <f t="shared" si="1"/>
        <v>F</v>
      </c>
      <c r="BF8" s="43" t="str">
        <f t="shared" si="1"/>
        <v>S</v>
      </c>
      <c r="BG8" s="44" t="str">
        <f t="shared" si="1"/>
        <v>S</v>
      </c>
      <c r="BH8" s="42" t="str">
        <f t="shared" si="1"/>
        <v>M</v>
      </c>
      <c r="BI8" s="43" t="str">
        <f t="shared" si="1"/>
        <v>T</v>
      </c>
      <c r="BJ8" s="43" t="str">
        <f t="shared" si="1"/>
        <v>W</v>
      </c>
      <c r="BK8" s="43" t="str">
        <f t="shared" si="1"/>
        <v>T</v>
      </c>
      <c r="BL8" s="43" t="str">
        <f t="shared" si="1"/>
        <v>F</v>
      </c>
      <c r="BM8" s="43" t="str">
        <f t="shared" si="1"/>
        <v>S</v>
      </c>
      <c r="BN8" s="44" t="str">
        <f t="shared" si="1"/>
        <v>S</v>
      </c>
      <c r="BO8" s="42" t="str">
        <f t="shared" si="1"/>
        <v>S</v>
      </c>
      <c r="BP8" s="43" t="str">
        <f t="shared" si="1"/>
        <v>S</v>
      </c>
      <c r="BQ8" s="43" t="str">
        <f t="shared" si="1"/>
        <v>S</v>
      </c>
      <c r="BR8" s="43" t="str">
        <f t="shared" si="1"/>
        <v>S</v>
      </c>
      <c r="BS8" s="43" t="str">
        <f t="shared" si="1"/>
        <v>S</v>
      </c>
      <c r="BT8" s="43" t="str">
        <f t="shared" si="1"/>
        <v>S</v>
      </c>
      <c r="BU8" s="44" t="str">
        <f t="shared" si="1"/>
        <v>S</v>
      </c>
      <c r="BV8" s="42" t="str">
        <f t="shared" si="1"/>
        <v>S</v>
      </c>
      <c r="BW8" s="43" t="str">
        <f t="shared" ref="BW8:EH8" si="2">CHOOSE(WEEKDAY(BW7,1),"S","M","T","W","T","F","S")</f>
        <v>S</v>
      </c>
      <c r="BX8" s="43" t="str">
        <f t="shared" si="2"/>
        <v>S</v>
      </c>
      <c r="BY8" s="43" t="str">
        <f t="shared" si="2"/>
        <v>S</v>
      </c>
      <c r="BZ8" s="43" t="str">
        <f t="shared" si="2"/>
        <v>S</v>
      </c>
      <c r="CA8" s="43" t="str">
        <f t="shared" si="2"/>
        <v>S</v>
      </c>
      <c r="CB8" s="44" t="str">
        <f t="shared" si="2"/>
        <v>S</v>
      </c>
      <c r="CC8" s="42" t="str">
        <f t="shared" si="2"/>
        <v>S</v>
      </c>
      <c r="CD8" s="43" t="str">
        <f t="shared" si="2"/>
        <v>S</v>
      </c>
      <c r="CE8" s="43" t="str">
        <f t="shared" si="2"/>
        <v>S</v>
      </c>
      <c r="CF8" s="43" t="str">
        <f t="shared" si="2"/>
        <v>S</v>
      </c>
      <c r="CG8" s="43" t="str">
        <f t="shared" si="2"/>
        <v>S</v>
      </c>
      <c r="CH8" s="43" t="str">
        <f t="shared" si="2"/>
        <v>S</v>
      </c>
      <c r="CI8" s="44" t="str">
        <f t="shared" si="2"/>
        <v>S</v>
      </c>
      <c r="CJ8" s="42" t="str">
        <f t="shared" si="2"/>
        <v>S</v>
      </c>
      <c r="CK8" s="43" t="str">
        <f t="shared" si="2"/>
        <v>S</v>
      </c>
      <c r="CL8" s="43" t="str">
        <f t="shared" si="2"/>
        <v>S</v>
      </c>
      <c r="CM8" s="43" t="str">
        <f t="shared" si="2"/>
        <v>S</v>
      </c>
      <c r="CN8" s="43" t="str">
        <f t="shared" si="2"/>
        <v>S</v>
      </c>
      <c r="CO8" s="43" t="str">
        <f t="shared" si="2"/>
        <v>S</v>
      </c>
      <c r="CP8" s="44" t="str">
        <f t="shared" si="2"/>
        <v>S</v>
      </c>
      <c r="CQ8" s="42" t="str">
        <f t="shared" si="2"/>
        <v>S</v>
      </c>
      <c r="CR8" s="43" t="str">
        <f t="shared" si="2"/>
        <v>S</v>
      </c>
      <c r="CS8" s="43" t="str">
        <f t="shared" si="2"/>
        <v>S</v>
      </c>
      <c r="CT8" s="43" t="str">
        <f t="shared" si="2"/>
        <v>S</v>
      </c>
      <c r="CU8" s="43" t="str">
        <f t="shared" si="2"/>
        <v>S</v>
      </c>
      <c r="CV8" s="43" t="str">
        <f t="shared" si="2"/>
        <v>S</v>
      </c>
      <c r="CW8" s="44" t="str">
        <f t="shared" si="2"/>
        <v>S</v>
      </c>
      <c r="CX8" s="42" t="str">
        <f t="shared" si="2"/>
        <v>S</v>
      </c>
      <c r="CY8" s="43" t="str">
        <f t="shared" si="2"/>
        <v>S</v>
      </c>
      <c r="CZ8" s="43" t="str">
        <f t="shared" si="2"/>
        <v>S</v>
      </c>
      <c r="DA8" s="43" t="str">
        <f t="shared" si="2"/>
        <v>S</v>
      </c>
      <c r="DB8" s="43" t="str">
        <f t="shared" si="2"/>
        <v>S</v>
      </c>
      <c r="DC8" s="43" t="str">
        <f t="shared" si="2"/>
        <v>S</v>
      </c>
      <c r="DD8" s="44" t="str">
        <f t="shared" si="2"/>
        <v>S</v>
      </c>
      <c r="DE8" s="42" t="str">
        <f t="shared" si="2"/>
        <v>S</v>
      </c>
      <c r="DF8" s="43" t="str">
        <f t="shared" si="2"/>
        <v>S</v>
      </c>
      <c r="DG8" s="43" t="str">
        <f t="shared" si="2"/>
        <v>S</v>
      </c>
      <c r="DH8" s="43" t="str">
        <f t="shared" si="2"/>
        <v>S</v>
      </c>
      <c r="DI8" s="43" t="str">
        <f t="shared" si="2"/>
        <v>S</v>
      </c>
      <c r="DJ8" s="43" t="str">
        <f t="shared" si="2"/>
        <v>S</v>
      </c>
      <c r="DK8" s="44" t="str">
        <f t="shared" si="2"/>
        <v>S</v>
      </c>
      <c r="DL8" s="42" t="str">
        <f t="shared" si="2"/>
        <v>S</v>
      </c>
      <c r="DM8" s="43" t="str">
        <f t="shared" si="2"/>
        <v>S</v>
      </c>
      <c r="DN8" s="43" t="str">
        <f t="shared" si="2"/>
        <v>S</v>
      </c>
      <c r="DO8" s="43" t="str">
        <f t="shared" si="2"/>
        <v>S</v>
      </c>
      <c r="DP8" s="43" t="str">
        <f t="shared" si="2"/>
        <v>S</v>
      </c>
      <c r="DQ8" s="43" t="str">
        <f t="shared" si="2"/>
        <v>S</v>
      </c>
      <c r="DR8" s="44" t="str">
        <f t="shared" si="2"/>
        <v>S</v>
      </c>
      <c r="DS8" s="42" t="str">
        <f t="shared" si="2"/>
        <v>S</v>
      </c>
      <c r="DT8" s="43" t="str">
        <f t="shared" si="2"/>
        <v>S</v>
      </c>
      <c r="DU8" s="43" t="str">
        <f t="shared" si="2"/>
        <v>S</v>
      </c>
      <c r="DV8" s="43" t="str">
        <f t="shared" si="2"/>
        <v>S</v>
      </c>
      <c r="DW8" s="43" t="str">
        <f t="shared" si="2"/>
        <v>S</v>
      </c>
      <c r="DX8" s="43" t="str">
        <f t="shared" si="2"/>
        <v>S</v>
      </c>
      <c r="DY8" s="44" t="str">
        <f t="shared" si="2"/>
        <v>S</v>
      </c>
      <c r="DZ8" s="42" t="str">
        <f t="shared" si="2"/>
        <v>S</v>
      </c>
      <c r="EA8" s="43" t="str">
        <f t="shared" si="2"/>
        <v>S</v>
      </c>
      <c r="EB8" s="43" t="str">
        <f t="shared" si="2"/>
        <v>S</v>
      </c>
      <c r="EC8" s="43" t="str">
        <f t="shared" si="2"/>
        <v>S</v>
      </c>
      <c r="ED8" s="43" t="str">
        <f t="shared" si="2"/>
        <v>S</v>
      </c>
      <c r="EE8" s="43" t="str">
        <f t="shared" si="2"/>
        <v>S</v>
      </c>
      <c r="EF8" s="44" t="str">
        <f t="shared" si="2"/>
        <v>S</v>
      </c>
      <c r="EG8" s="42" t="str">
        <f t="shared" si="2"/>
        <v>S</v>
      </c>
      <c r="EH8" s="43" t="str">
        <f t="shared" si="2"/>
        <v>S</v>
      </c>
      <c r="EI8" s="43" t="str">
        <f t="shared" ref="EI8:FO8" si="3">CHOOSE(WEEKDAY(EI7,1),"S","M","T","W","T","F","S")</f>
        <v>S</v>
      </c>
      <c r="EJ8" s="43" t="str">
        <f t="shared" si="3"/>
        <v>S</v>
      </c>
      <c r="EK8" s="43" t="str">
        <f t="shared" si="3"/>
        <v>S</v>
      </c>
      <c r="EL8" s="43" t="str">
        <f t="shared" si="3"/>
        <v>S</v>
      </c>
      <c r="EM8" s="44" t="str">
        <f t="shared" si="3"/>
        <v>S</v>
      </c>
      <c r="EN8" s="42" t="str">
        <f t="shared" si="3"/>
        <v>S</v>
      </c>
      <c r="EO8" s="43" t="str">
        <f t="shared" si="3"/>
        <v>S</v>
      </c>
      <c r="EP8" s="43" t="str">
        <f t="shared" si="3"/>
        <v>S</v>
      </c>
      <c r="EQ8" s="43" t="str">
        <f t="shared" si="3"/>
        <v>S</v>
      </c>
      <c r="ER8" s="43" t="str">
        <f t="shared" si="3"/>
        <v>S</v>
      </c>
      <c r="ES8" s="43" t="str">
        <f t="shared" si="3"/>
        <v>S</v>
      </c>
      <c r="ET8" s="44" t="str">
        <f t="shared" si="3"/>
        <v>S</v>
      </c>
      <c r="EU8" s="42" t="str">
        <f t="shared" si="3"/>
        <v>S</v>
      </c>
      <c r="EV8" s="43" t="str">
        <f t="shared" si="3"/>
        <v>S</v>
      </c>
      <c r="EW8" s="43" t="str">
        <f t="shared" si="3"/>
        <v>S</v>
      </c>
      <c r="EX8" s="43" t="str">
        <f t="shared" si="3"/>
        <v>S</v>
      </c>
      <c r="EY8" s="43" t="str">
        <f t="shared" si="3"/>
        <v>S</v>
      </c>
      <c r="EZ8" s="43" t="str">
        <f t="shared" si="3"/>
        <v>S</v>
      </c>
      <c r="FA8" s="44" t="str">
        <f t="shared" si="3"/>
        <v>S</v>
      </c>
      <c r="FB8" s="42" t="str">
        <f t="shared" si="3"/>
        <v>S</v>
      </c>
      <c r="FC8" s="43" t="str">
        <f t="shared" si="3"/>
        <v>S</v>
      </c>
      <c r="FD8" s="43" t="str">
        <f t="shared" si="3"/>
        <v>S</v>
      </c>
      <c r="FE8" s="43" t="str">
        <f t="shared" si="3"/>
        <v>S</v>
      </c>
      <c r="FF8" s="43" t="str">
        <f t="shared" si="3"/>
        <v>S</v>
      </c>
      <c r="FG8" s="43" t="str">
        <f t="shared" si="3"/>
        <v>S</v>
      </c>
      <c r="FH8" s="44" t="str">
        <f t="shared" si="3"/>
        <v>S</v>
      </c>
      <c r="FI8" s="42" t="str">
        <f t="shared" si="3"/>
        <v>S</v>
      </c>
      <c r="FJ8" s="43" t="str">
        <f t="shared" si="3"/>
        <v>S</v>
      </c>
      <c r="FK8" s="43" t="str">
        <f t="shared" si="3"/>
        <v>S</v>
      </c>
      <c r="FL8" s="43" t="str">
        <f t="shared" si="3"/>
        <v>S</v>
      </c>
      <c r="FM8" s="43" t="str">
        <f t="shared" si="3"/>
        <v>S</v>
      </c>
      <c r="FN8" s="43" t="str">
        <f t="shared" si="3"/>
        <v>S</v>
      </c>
      <c r="FO8" s="44" t="str">
        <f t="shared" si="3"/>
        <v>S</v>
      </c>
      <c r="FP8" s="42"/>
      <c r="FQ8" s="43"/>
      <c r="FR8" s="43"/>
      <c r="FS8" s="43"/>
      <c r="FT8" s="43"/>
      <c r="FU8" s="43"/>
      <c r="FV8" s="44"/>
      <c r="FW8" s="42"/>
      <c r="FX8" s="43"/>
      <c r="FY8" s="43"/>
      <c r="FZ8" s="43"/>
      <c r="GA8" s="43"/>
      <c r="GB8" s="43"/>
      <c r="GC8" s="44"/>
      <c r="GD8" s="42"/>
      <c r="GE8" s="43"/>
      <c r="GF8" s="43"/>
      <c r="GG8" s="43"/>
      <c r="GH8" s="43"/>
      <c r="GI8" s="43"/>
      <c r="GJ8" s="44"/>
      <c r="GK8" s="42"/>
      <c r="GL8" s="43"/>
      <c r="GM8" s="43"/>
      <c r="GN8" s="43"/>
      <c r="GO8" s="43"/>
      <c r="GP8" s="43"/>
      <c r="GQ8" s="44"/>
      <c r="GR8" s="42"/>
      <c r="GS8" s="43"/>
      <c r="GT8" s="43"/>
      <c r="GU8" s="43"/>
      <c r="GV8" s="43"/>
      <c r="GW8" s="43"/>
      <c r="GX8" s="44"/>
      <c r="GY8" s="42"/>
      <c r="GZ8" s="43"/>
      <c r="HA8" s="43"/>
      <c r="HB8" s="43"/>
      <c r="HC8" s="43"/>
      <c r="HD8" s="43"/>
      <c r="HE8" s="44"/>
      <c r="HF8" s="42"/>
      <c r="HG8" s="43"/>
      <c r="HH8" s="43"/>
      <c r="HI8" s="43"/>
      <c r="HJ8" s="43"/>
      <c r="HK8" s="43"/>
      <c r="HL8" s="44"/>
    </row>
    <row r="9" spans="1:220" s="56" customFormat="1" ht="18.5" x14ac:dyDescent="0.35">
      <c r="A9" s="45" t="str">
        <f>IF(ISERROR(VALUE(SUBSTITUTE(prevWBS,".",""))),"1",IF(ISERROR(FIND("`",SUBSTITUTE(prevWBS,".","`",1))),TEXT(VALUE(prevWBS)+1,"#"),TEXT(VALUE(LEFT(prevWBS,FIND("`",SUBSTITUTE(prevWBS,".","`",1))-1))+1,"#")))</f>
        <v>1</v>
      </c>
      <c r="B9" s="46" t="s">
        <v>61</v>
      </c>
      <c r="C9" s="47"/>
      <c r="D9" s="48"/>
      <c r="E9" s="49"/>
      <c r="F9" s="50" t="str">
        <f>IF(ISBLANK(E9)," - ",IF(G9=0,E9,E9+G9-1))</f>
        <v xml:space="preserve"> - </v>
      </c>
      <c r="G9" s="51"/>
      <c r="H9" s="52"/>
      <c r="I9" s="53" t="str">
        <f t="shared" ref="I9:I43" si="4">IF(OR(F9=0,E9=0)," - ",NETWORKDAYS(E9,F9))</f>
        <v xml:space="preserve"> - </v>
      </c>
      <c r="J9" s="54"/>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row>
    <row r="10" spans="1:220" s="59" customFormat="1" ht="18.5" x14ac:dyDescent="0.35">
      <c r="A10" s="57" t="str">
        <f t="shared" ref="A10:A18"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10" s="58" t="s">
        <v>86</v>
      </c>
      <c r="D10" s="60"/>
      <c r="E10" s="114">
        <v>45231</v>
      </c>
      <c r="F10" s="110">
        <f>IF(ISBLANK(E10)," - ",IF(G10=0,E10,E10+G10-1))</f>
        <v>45233</v>
      </c>
      <c r="G10" s="62">
        <v>3</v>
      </c>
      <c r="H10" s="63">
        <v>1</v>
      </c>
      <c r="I10" s="64">
        <f t="shared" si="4"/>
        <v>3</v>
      </c>
      <c r="J10" s="65"/>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row>
    <row r="11" spans="1:220" s="59" customFormat="1" ht="18.5" x14ac:dyDescent="0.35">
      <c r="A11" s="57" t="str">
        <f t="shared" si="5"/>
        <v>1.2</v>
      </c>
      <c r="B11" s="58" t="s">
        <v>87</v>
      </c>
      <c r="D11" s="60"/>
      <c r="E11" s="115">
        <v>45236</v>
      </c>
      <c r="F11" s="110">
        <f t="shared" ref="F11:F31" si="6">IF(ISBLANK(E11)," - ",IF(G11=0,E11,E11+G11-1))</f>
        <v>45238</v>
      </c>
      <c r="G11" s="62">
        <v>3</v>
      </c>
      <c r="H11" s="63">
        <v>1</v>
      </c>
      <c r="I11" s="64">
        <f t="shared" si="4"/>
        <v>3</v>
      </c>
      <c r="J11" s="65"/>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row>
    <row r="12" spans="1:220" s="59" customFormat="1" ht="18.5" x14ac:dyDescent="0.35">
      <c r="A12" s="57" t="str">
        <f t="shared" si="5"/>
        <v>1.3</v>
      </c>
      <c r="B12" s="58" t="s">
        <v>88</v>
      </c>
      <c r="D12" s="60"/>
      <c r="E12" s="115">
        <v>45238</v>
      </c>
      <c r="F12" s="110">
        <f t="shared" si="6"/>
        <v>45244</v>
      </c>
      <c r="G12" s="62">
        <v>7</v>
      </c>
      <c r="H12" s="63">
        <v>1</v>
      </c>
      <c r="I12" s="64">
        <f t="shared" si="4"/>
        <v>5</v>
      </c>
      <c r="J12" s="65"/>
      <c r="K12" s="57"/>
      <c r="L12" s="57"/>
      <c r="M12" s="66"/>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row>
    <row r="13" spans="1:220" s="59" customFormat="1" ht="18.5" x14ac:dyDescent="0.35">
      <c r="A13" s="57" t="str">
        <f t="shared" si="5"/>
        <v>1.4</v>
      </c>
      <c r="B13" s="59" t="s">
        <v>89</v>
      </c>
      <c r="D13" s="60"/>
      <c r="E13" s="115">
        <v>45245</v>
      </c>
      <c r="F13" s="110">
        <f t="shared" si="6"/>
        <v>45254</v>
      </c>
      <c r="G13" s="62">
        <v>10</v>
      </c>
      <c r="H13" s="63">
        <v>1</v>
      </c>
      <c r="I13" s="64">
        <f t="shared" si="4"/>
        <v>8</v>
      </c>
      <c r="J13" s="65"/>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row>
    <row r="14" spans="1:220" s="59" customFormat="1" ht="18.5" x14ac:dyDescent="0.35">
      <c r="A14" s="57" t="str">
        <f t="shared" si="5"/>
        <v>1.5</v>
      </c>
      <c r="B14" s="58" t="s">
        <v>90</v>
      </c>
      <c r="D14" s="60"/>
      <c r="E14" s="115">
        <v>45254</v>
      </c>
      <c r="F14" s="110">
        <f t="shared" si="6"/>
        <v>45261</v>
      </c>
      <c r="G14" s="62">
        <v>8</v>
      </c>
      <c r="H14" s="63">
        <v>1</v>
      </c>
      <c r="I14" s="64">
        <f t="shared" si="4"/>
        <v>6</v>
      </c>
      <c r="J14" s="65"/>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row>
    <row r="15" spans="1:220" s="59" customFormat="1" ht="18.5" x14ac:dyDescent="0.35">
      <c r="A15" s="57" t="str">
        <f t="shared" si="5"/>
        <v>1.6</v>
      </c>
      <c r="B15" s="58" t="s">
        <v>91</v>
      </c>
      <c r="D15" s="60"/>
      <c r="E15" s="115">
        <v>45261</v>
      </c>
      <c r="F15" s="110">
        <f t="shared" si="6"/>
        <v>45275</v>
      </c>
      <c r="G15" s="62">
        <v>15</v>
      </c>
      <c r="H15" s="63">
        <v>1</v>
      </c>
      <c r="I15" s="64">
        <f t="shared" si="4"/>
        <v>11</v>
      </c>
      <c r="J15" s="65"/>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row>
    <row r="16" spans="1:220" s="59" customFormat="1" ht="18.5" x14ac:dyDescent="0.35">
      <c r="A16" s="57" t="str">
        <f t="shared" si="5"/>
        <v>1.7</v>
      </c>
      <c r="B16" s="58" t="s">
        <v>92</v>
      </c>
      <c r="D16" s="60"/>
      <c r="E16" s="115">
        <v>45275</v>
      </c>
      <c r="F16" s="110">
        <f t="shared" si="6"/>
        <v>45287</v>
      </c>
      <c r="G16" s="62">
        <v>13</v>
      </c>
      <c r="H16" s="63">
        <v>1</v>
      </c>
      <c r="I16" s="64">
        <f t="shared" si="4"/>
        <v>9</v>
      </c>
      <c r="J16" s="65"/>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row>
    <row r="17" spans="1:66" s="59" customFormat="1" ht="18.5" x14ac:dyDescent="0.35">
      <c r="A17" s="57" t="str">
        <f t="shared" si="5"/>
        <v>1.8</v>
      </c>
      <c r="B17" s="58" t="s">
        <v>93</v>
      </c>
      <c r="D17" s="60"/>
      <c r="E17" s="115">
        <v>45287</v>
      </c>
      <c r="F17" s="110">
        <f t="shared" si="6"/>
        <v>45289</v>
      </c>
      <c r="G17" s="62">
        <v>3</v>
      </c>
      <c r="H17" s="63">
        <v>1</v>
      </c>
      <c r="I17" s="64">
        <f t="shared" si="4"/>
        <v>3</v>
      </c>
      <c r="J17" s="65"/>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row>
    <row r="18" spans="1:66" s="69" customFormat="1" ht="18.5" x14ac:dyDescent="0.35">
      <c r="A18" s="67" t="str">
        <f t="shared" si="5"/>
        <v>1.9</v>
      </c>
      <c r="B18" s="68" t="s">
        <v>94</v>
      </c>
      <c r="D18" s="70"/>
      <c r="E18" s="116">
        <v>45302</v>
      </c>
      <c r="F18" s="111">
        <f t="shared" si="6"/>
        <v>45310</v>
      </c>
      <c r="G18" s="71">
        <v>9</v>
      </c>
      <c r="H18" s="72">
        <v>1</v>
      </c>
      <c r="I18" s="71">
        <f t="shared" si="4"/>
        <v>7</v>
      </c>
      <c r="J18" s="73"/>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row>
    <row r="19" spans="1:66" s="56" customFormat="1" ht="18.5" x14ac:dyDescent="0.35">
      <c r="A19" s="74" t="str">
        <f>IF(ISERROR(VALUE(SUBSTITUTE(prevWBS,".",""))),"1",IF(ISERROR(FIND("`",SUBSTITUTE(prevWBS,".","`",1))),TEXT(VALUE(prevWBS)+1,"#"),TEXT(VALUE(LEFT(prevWBS,FIND("`",SUBSTITUTE(prevWBS,".","`",1))-1))+1,"#")))</f>
        <v>2</v>
      </c>
      <c r="B19" s="75" t="s">
        <v>95</v>
      </c>
      <c r="D19" s="76"/>
      <c r="E19" s="117"/>
      <c r="F19" s="112" t="str">
        <f t="shared" si="6"/>
        <v xml:space="preserve"> - </v>
      </c>
      <c r="G19" s="77"/>
      <c r="H19" s="78" t="s">
        <v>96</v>
      </c>
      <c r="I19" s="79" t="str">
        <f t="shared" si="4"/>
        <v xml:space="preserve"> - </v>
      </c>
      <c r="J19" s="80"/>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row>
    <row r="20" spans="1:66" s="59" customFormat="1" ht="18.5" x14ac:dyDescent="0.35">
      <c r="A20"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20" s="59" t="s">
        <v>97</v>
      </c>
      <c r="D20" s="60"/>
      <c r="E20" s="115">
        <v>45292</v>
      </c>
      <c r="F20" s="110">
        <f t="shared" si="6"/>
        <v>45293</v>
      </c>
      <c r="G20" s="62">
        <v>2</v>
      </c>
      <c r="H20" s="63">
        <v>1</v>
      </c>
      <c r="I20" s="64">
        <f t="shared" si="4"/>
        <v>2</v>
      </c>
      <c r="J20" s="65"/>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row>
    <row r="21" spans="1:66" s="59" customFormat="1" ht="18.5" x14ac:dyDescent="0.35">
      <c r="A21"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1" s="59" t="s">
        <v>98</v>
      </c>
      <c r="D21" s="60"/>
      <c r="E21" s="115">
        <v>45296</v>
      </c>
      <c r="F21" s="110">
        <f t="shared" si="6"/>
        <v>45298</v>
      </c>
      <c r="G21" s="62">
        <v>3</v>
      </c>
      <c r="H21" s="63">
        <v>1</v>
      </c>
      <c r="I21" s="64">
        <f t="shared" si="4"/>
        <v>1</v>
      </c>
      <c r="J21" s="65"/>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row>
    <row r="22" spans="1:66" s="59" customFormat="1" ht="18.5" x14ac:dyDescent="0.35">
      <c r="A22"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2" s="59" t="s">
        <v>99</v>
      </c>
      <c r="D22" s="60"/>
      <c r="E22" s="115">
        <v>45299</v>
      </c>
      <c r="F22" s="110">
        <f t="shared" si="6"/>
        <v>45303</v>
      </c>
      <c r="G22" s="62">
        <v>5</v>
      </c>
      <c r="H22" s="63">
        <v>1</v>
      </c>
      <c r="I22" s="64">
        <f t="shared" si="4"/>
        <v>5</v>
      </c>
      <c r="J22" s="65"/>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row>
    <row r="23" spans="1:66" s="59" customFormat="1" ht="18.5" x14ac:dyDescent="0.35">
      <c r="A23"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3" s="59" t="s">
        <v>100</v>
      </c>
      <c r="D23" s="60"/>
      <c r="E23" s="115">
        <v>45318</v>
      </c>
      <c r="F23" s="110">
        <f t="shared" si="6"/>
        <v>45329</v>
      </c>
      <c r="G23" s="62">
        <v>12</v>
      </c>
      <c r="H23" s="63">
        <v>1</v>
      </c>
      <c r="I23" s="64">
        <f t="shared" si="4"/>
        <v>8</v>
      </c>
      <c r="J23" s="65"/>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row>
    <row r="24" spans="1:66" s="59" customFormat="1" ht="18.5" x14ac:dyDescent="0.35">
      <c r="A24"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4" s="59" t="s">
        <v>101</v>
      </c>
      <c r="D24" s="60"/>
      <c r="E24" s="115">
        <v>45330</v>
      </c>
      <c r="F24" s="110">
        <f t="shared" si="6"/>
        <v>45341</v>
      </c>
      <c r="G24" s="62">
        <v>12</v>
      </c>
      <c r="H24" s="63">
        <v>1</v>
      </c>
      <c r="I24" s="64">
        <f t="shared" si="4"/>
        <v>8</v>
      </c>
      <c r="J24" s="65"/>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row>
    <row r="25" spans="1:66" s="59" customFormat="1" ht="18.5" x14ac:dyDescent="0.35">
      <c r="A25" s="57">
        <v>2.6</v>
      </c>
      <c r="B25" s="59" t="s">
        <v>102</v>
      </c>
      <c r="D25" s="82"/>
      <c r="E25" s="118">
        <v>45342</v>
      </c>
      <c r="F25" s="113">
        <f t="shared" si="6"/>
        <v>45351</v>
      </c>
      <c r="G25" s="83">
        <v>10</v>
      </c>
      <c r="H25" s="63">
        <v>1</v>
      </c>
      <c r="I25" s="84">
        <f t="shared" si="4"/>
        <v>8</v>
      </c>
      <c r="J25" s="85"/>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row>
    <row r="26" spans="1:66" s="59" customFormat="1" ht="18.5" x14ac:dyDescent="0.35">
      <c r="A26" s="57">
        <v>2.7</v>
      </c>
      <c r="B26" s="59" t="s">
        <v>103</v>
      </c>
      <c r="D26" s="82"/>
      <c r="E26" s="118">
        <v>45352</v>
      </c>
      <c r="F26" s="113">
        <f t="shared" si="6"/>
        <v>45352</v>
      </c>
      <c r="G26" s="83">
        <v>1</v>
      </c>
      <c r="H26" s="63">
        <v>1</v>
      </c>
      <c r="I26" s="84">
        <f t="shared" si="4"/>
        <v>1</v>
      </c>
      <c r="J26" s="85"/>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row>
    <row r="27" spans="1:66" s="56" customFormat="1" ht="18.5" x14ac:dyDescent="0.35">
      <c r="A27" s="74" t="str">
        <f>IF(ISERROR(VALUE(SUBSTITUTE(prevWBS,".",""))),"1",IF(ISERROR(FIND("`",SUBSTITUTE(prevWBS,".","`",1))),TEXT(VALUE(prevWBS)+1,"#"),TEXT(VALUE(LEFT(prevWBS,FIND("`",SUBSTITUTE(prevWBS,".","`",1))-1))+1,"#")))</f>
        <v>3</v>
      </c>
      <c r="B27" s="75" t="s">
        <v>104</v>
      </c>
      <c r="D27" s="76"/>
      <c r="E27" s="117"/>
      <c r="F27" s="112" t="str">
        <f t="shared" si="6"/>
        <v xml:space="preserve"> - </v>
      </c>
      <c r="G27" s="77"/>
      <c r="H27" s="78"/>
      <c r="I27" s="79" t="str">
        <f t="shared" si="4"/>
        <v xml:space="preserve"> - </v>
      </c>
      <c r="J27" s="80"/>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row>
    <row r="28" spans="1:66" s="59" customFormat="1" ht="18.5" x14ac:dyDescent="0.35">
      <c r="A28" s="57" t="str">
        <f t="shared" ref="A28:A35"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8" s="59" t="s">
        <v>105</v>
      </c>
      <c r="D28" s="60"/>
      <c r="E28" s="115">
        <v>45264</v>
      </c>
      <c r="F28" s="110">
        <f t="shared" si="6"/>
        <v>45267</v>
      </c>
      <c r="G28" s="62">
        <v>4</v>
      </c>
      <c r="H28" s="63">
        <v>1</v>
      </c>
      <c r="I28" s="64">
        <f t="shared" si="4"/>
        <v>4</v>
      </c>
      <c r="J28" s="65"/>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row>
    <row r="29" spans="1:66" s="59" customFormat="1" ht="18.5" x14ac:dyDescent="0.35">
      <c r="A29" s="57" t="str">
        <f t="shared" si="7"/>
        <v>3.2</v>
      </c>
      <c r="B29" s="59" t="s">
        <v>106</v>
      </c>
      <c r="D29" s="60"/>
      <c r="E29" s="115">
        <v>45272</v>
      </c>
      <c r="F29" s="110">
        <f t="shared" si="6"/>
        <v>45283</v>
      </c>
      <c r="G29" s="62">
        <v>12</v>
      </c>
      <c r="H29" s="63">
        <v>1</v>
      </c>
      <c r="I29" s="64">
        <f t="shared" si="4"/>
        <v>9</v>
      </c>
      <c r="J29" s="65"/>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row>
    <row r="30" spans="1:66" s="59" customFormat="1" ht="18.5" x14ac:dyDescent="0.35">
      <c r="A30" s="57" t="str">
        <f t="shared" si="7"/>
        <v>3.3</v>
      </c>
      <c r="B30" s="59" t="s">
        <v>107</v>
      </c>
      <c r="D30" s="60"/>
      <c r="E30" s="115">
        <v>45356</v>
      </c>
      <c r="F30" s="110">
        <f t="shared" si="6"/>
        <v>45365</v>
      </c>
      <c r="G30" s="62">
        <v>10</v>
      </c>
      <c r="H30" s="63">
        <v>1</v>
      </c>
      <c r="I30" s="64">
        <f t="shared" si="4"/>
        <v>8</v>
      </c>
      <c r="J30" s="65"/>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row>
    <row r="31" spans="1:66" s="59" customFormat="1" ht="18.5" x14ac:dyDescent="0.35">
      <c r="A31" s="57" t="str">
        <f t="shared" si="7"/>
        <v>3.4</v>
      </c>
      <c r="B31" s="59" t="s">
        <v>108</v>
      </c>
      <c r="D31" s="60"/>
      <c r="E31" s="115">
        <v>45358</v>
      </c>
      <c r="F31" s="110">
        <f t="shared" si="6"/>
        <v>45377</v>
      </c>
      <c r="G31" s="62">
        <v>20</v>
      </c>
      <c r="H31" s="63">
        <v>1</v>
      </c>
      <c r="I31" s="64">
        <f t="shared" si="4"/>
        <v>14</v>
      </c>
      <c r="J31" s="65"/>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row>
    <row r="32" spans="1:66" s="59" customFormat="1" ht="18.5" x14ac:dyDescent="0.35">
      <c r="A32" s="57" t="str">
        <f t="shared" si="7"/>
        <v>3.5</v>
      </c>
      <c r="B32" s="59" t="s">
        <v>109</v>
      </c>
      <c r="D32" s="60"/>
      <c r="E32" s="115">
        <v>45377</v>
      </c>
      <c r="F32" s="110">
        <f>IF(ISBLANK(E32)," - ",IF(G32=0,E32,E32+G32-1))</f>
        <v>45406</v>
      </c>
      <c r="G32" s="62">
        <v>30</v>
      </c>
      <c r="H32" s="63">
        <v>1</v>
      </c>
      <c r="I32" s="64">
        <f>IF(OR(F32=0,E32=0)," - ",NETWORKDAYS(E32,F32))</f>
        <v>22</v>
      </c>
      <c r="J32" s="65"/>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row>
    <row r="33" spans="1:66" s="59" customFormat="1" ht="18.5" x14ac:dyDescent="0.35">
      <c r="A33" s="57" t="str">
        <f t="shared" si="7"/>
        <v>3.6</v>
      </c>
      <c r="B33" s="59" t="s">
        <v>119</v>
      </c>
      <c r="D33" s="60"/>
      <c r="E33" s="115">
        <v>45439</v>
      </c>
      <c r="F33" s="110">
        <f>IF(ISBLANK(E33)," - ",IF(G33=0,E33,E33+G33-1))</f>
        <v>45468</v>
      </c>
      <c r="G33" s="62">
        <v>30</v>
      </c>
      <c r="H33" s="63">
        <v>1</v>
      </c>
      <c r="I33" s="64">
        <f>IF(OR(F33=0,E33=0)," - ",NETWORKDAYS(E33,F33))</f>
        <v>22</v>
      </c>
      <c r="J33" s="65"/>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row>
    <row r="34" spans="1:66" s="59" customFormat="1" ht="18.5" x14ac:dyDescent="0.35">
      <c r="A34" s="57" t="str">
        <f t="shared" si="7"/>
        <v>3.7</v>
      </c>
      <c r="B34" s="59" t="s">
        <v>120</v>
      </c>
      <c r="D34" s="60"/>
      <c r="E34" s="115">
        <v>45471</v>
      </c>
      <c r="F34" s="110">
        <f t="shared" ref="F34:F50" si="8">IF(ISBLANK(E34)," - ",IF(G34=0,E34,E34+G34-1))</f>
        <v>45499</v>
      </c>
      <c r="G34" s="62">
        <v>29</v>
      </c>
      <c r="H34" s="63">
        <v>1</v>
      </c>
      <c r="I34" s="64">
        <f>IF(OR(F34=0,E34=0)," - ",NETWORKDAYS(E34,F34))</f>
        <v>21</v>
      </c>
      <c r="J34" s="65"/>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row>
    <row r="35" spans="1:66" s="59" customFormat="1" ht="18.5" x14ac:dyDescent="0.35">
      <c r="A35" s="57" t="str">
        <f t="shared" si="7"/>
        <v>3.8</v>
      </c>
      <c r="B35" s="59" t="s">
        <v>110</v>
      </c>
      <c r="D35" s="60"/>
      <c r="E35" s="115">
        <v>45499</v>
      </c>
      <c r="F35" s="110">
        <f t="shared" si="8"/>
        <v>45509</v>
      </c>
      <c r="G35" s="62">
        <v>11</v>
      </c>
      <c r="H35" s="63">
        <v>1</v>
      </c>
      <c r="I35" s="64">
        <f>IF(OR(F35=0,E35=0)," - ",NETWORKDAYS(E35,F35))</f>
        <v>7</v>
      </c>
      <c r="J35" s="65"/>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row>
    <row r="36" spans="1:66" s="56" customFormat="1" ht="18.5" hidden="1" x14ac:dyDescent="0.35">
      <c r="A36" s="74" t="str">
        <f>IF(ISERROR(VALUE(SUBSTITUTE(prevWBS,".",""))),"1",IF(ISERROR(FIND("`",SUBSTITUTE(prevWBS,".","`",1))),TEXT(VALUE(prevWBS)+1,"#"),TEXT(VALUE(LEFT(prevWBS,FIND("`",SUBSTITUTE(prevWBS,".","`",1))-1))+1,"#")))</f>
        <v>4</v>
      </c>
      <c r="B36" s="75" t="s">
        <v>111</v>
      </c>
      <c r="D36" s="76"/>
      <c r="E36" s="61">
        <v>41617</v>
      </c>
      <c r="F36" s="110">
        <f t="shared" si="8"/>
        <v>41617</v>
      </c>
      <c r="G36" s="77"/>
      <c r="H36" s="78"/>
      <c r="I36" s="79">
        <f t="shared" si="4"/>
        <v>1</v>
      </c>
      <c r="J36" s="80"/>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row>
    <row r="37" spans="1:66" s="59" customFormat="1" ht="18.5" hidden="1" x14ac:dyDescent="0.35">
      <c r="A37"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7" s="58" t="s">
        <v>112</v>
      </c>
      <c r="D37" s="60"/>
      <c r="E37" s="61">
        <v>41618</v>
      </c>
      <c r="F37" s="110">
        <f t="shared" si="8"/>
        <v>41618</v>
      </c>
      <c r="G37" s="62">
        <v>1</v>
      </c>
      <c r="H37" s="63">
        <v>0</v>
      </c>
      <c r="I37" s="64">
        <f t="shared" si="4"/>
        <v>1</v>
      </c>
      <c r="J37" s="65"/>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row>
    <row r="38" spans="1:66" s="59" customFormat="1" ht="18.5" hidden="1" x14ac:dyDescent="0.35">
      <c r="A38"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8" s="58" t="s">
        <v>112</v>
      </c>
      <c r="D38" s="60"/>
      <c r="E38" s="61">
        <v>41619</v>
      </c>
      <c r="F38" s="110">
        <f t="shared" si="8"/>
        <v>41619</v>
      </c>
      <c r="G38" s="62">
        <v>1</v>
      </c>
      <c r="H38" s="63">
        <v>0</v>
      </c>
      <c r="I38" s="64">
        <f t="shared" si="4"/>
        <v>1</v>
      </c>
      <c r="J38" s="65"/>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row>
    <row r="39" spans="1:66" s="59" customFormat="1" ht="18.5" hidden="1" x14ac:dyDescent="0.35">
      <c r="A39"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9" s="58" t="s">
        <v>112</v>
      </c>
      <c r="D39" s="60"/>
      <c r="E39" s="61">
        <v>41620</v>
      </c>
      <c r="F39" s="110">
        <f t="shared" si="8"/>
        <v>41620</v>
      </c>
      <c r="G39" s="62">
        <v>1</v>
      </c>
      <c r="H39" s="63">
        <v>0</v>
      </c>
      <c r="I39" s="64">
        <f t="shared" si="4"/>
        <v>1</v>
      </c>
      <c r="J39" s="65"/>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row>
    <row r="40" spans="1:66" s="59" customFormat="1" ht="18.5" hidden="1" x14ac:dyDescent="0.35">
      <c r="A40"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40" s="58" t="s">
        <v>112</v>
      </c>
      <c r="D40" s="60"/>
      <c r="E40" s="61">
        <v>41621</v>
      </c>
      <c r="F40" s="110">
        <f t="shared" si="8"/>
        <v>41621</v>
      </c>
      <c r="G40" s="62">
        <v>1</v>
      </c>
      <c r="H40" s="63">
        <v>0</v>
      </c>
      <c r="I40" s="64">
        <f t="shared" si="4"/>
        <v>1</v>
      </c>
      <c r="J40" s="65"/>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row>
    <row r="41" spans="1:66" s="59" customFormat="1" ht="18.5" hidden="1" x14ac:dyDescent="0.35">
      <c r="A41"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41" s="58" t="s">
        <v>112</v>
      </c>
      <c r="D41" s="60"/>
      <c r="E41" s="61">
        <v>41622</v>
      </c>
      <c r="F41" s="110">
        <f t="shared" si="8"/>
        <v>41622</v>
      </c>
      <c r="G41" s="62">
        <v>1</v>
      </c>
      <c r="H41" s="63">
        <v>0</v>
      </c>
      <c r="I41" s="64">
        <f t="shared" si="4"/>
        <v>0</v>
      </c>
      <c r="J41" s="65"/>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row>
    <row r="42" spans="1:66" s="92" customFormat="1" ht="18.5" hidden="1" x14ac:dyDescent="0.35">
      <c r="A42" s="57"/>
      <c r="B42" s="86"/>
      <c r="C42" s="86"/>
      <c r="D42" s="87"/>
      <c r="E42" s="61">
        <v>41623</v>
      </c>
      <c r="F42" s="110">
        <f t="shared" si="8"/>
        <v>41623</v>
      </c>
      <c r="G42" s="88"/>
      <c r="H42" s="89"/>
      <c r="I42" s="90">
        <f t="shared" si="4"/>
        <v>0</v>
      </c>
      <c r="J42" s="91"/>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row>
    <row r="43" spans="1:66" s="92" customFormat="1" ht="18.5" hidden="1" x14ac:dyDescent="0.35">
      <c r="A43" s="57"/>
      <c r="B43" s="86"/>
      <c r="C43" s="86"/>
      <c r="D43" s="87"/>
      <c r="E43" s="61">
        <v>41624</v>
      </c>
      <c r="F43" s="110">
        <f t="shared" si="8"/>
        <v>41624</v>
      </c>
      <c r="G43" s="88"/>
      <c r="H43" s="89"/>
      <c r="I43" s="90">
        <f t="shared" si="4"/>
        <v>1</v>
      </c>
      <c r="J43" s="91"/>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row>
    <row r="44" spans="1:66" s="98" customFormat="1" ht="18.5" hidden="1" x14ac:dyDescent="0.35">
      <c r="A44" s="93" t="s">
        <v>113</v>
      </c>
      <c r="B44" s="94"/>
      <c r="C44" s="95"/>
      <c r="D44" s="95"/>
      <c r="E44" s="61">
        <v>41625</v>
      </c>
      <c r="F44" s="110">
        <f t="shared" si="8"/>
        <v>41625</v>
      </c>
      <c r="G44" s="96"/>
      <c r="H44" s="96"/>
      <c r="I44" s="96"/>
      <c r="J44" s="9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row>
    <row r="45" spans="1:66" s="92" customFormat="1" ht="18.5" hidden="1" x14ac:dyDescent="0.35">
      <c r="A45" s="99" t="s">
        <v>114</v>
      </c>
      <c r="B45" s="100"/>
      <c r="C45" s="100"/>
      <c r="D45" s="100"/>
      <c r="E45" s="61">
        <v>41626</v>
      </c>
      <c r="F45" s="110">
        <f t="shared" si="8"/>
        <v>41626</v>
      </c>
      <c r="G45" s="100"/>
      <c r="H45" s="100"/>
      <c r="I45" s="100"/>
      <c r="J45" s="9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row>
    <row r="46" spans="1:66" s="92" customFormat="1" ht="18.5" hidden="1" x14ac:dyDescent="0.35">
      <c r="A46" s="101" t="str">
        <f>IF(ISERROR(VALUE(SUBSTITUTE(prevWBS,".",""))),"1",IF(ISERROR(FIND("`",SUBSTITUTE(prevWBS,".","`",1))),TEXT(VALUE(prevWBS)+1,"#"),TEXT(VALUE(LEFT(prevWBS,FIND("`",SUBSTITUTE(prevWBS,".","`",1))-1))+1,"#")))</f>
        <v>1</v>
      </c>
      <c r="B46" s="102" t="s">
        <v>115</v>
      </c>
      <c r="C46" s="103"/>
      <c r="D46" s="104"/>
      <c r="E46" s="61">
        <v>41627</v>
      </c>
      <c r="F46" s="110">
        <f t="shared" si="8"/>
        <v>41627</v>
      </c>
      <c r="G46" s="62"/>
      <c r="H46" s="63"/>
      <c r="I46" s="64">
        <f>IF(OR(F46=0,E46=0)," - ",NETWORKDAYS(E46,F46))</f>
        <v>1</v>
      </c>
      <c r="J46" s="65"/>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row>
    <row r="47" spans="1:66" s="92" customFormat="1" ht="18.5" hidden="1" x14ac:dyDescent="0.35">
      <c r="A47" s="5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7" s="105" t="s">
        <v>116</v>
      </c>
      <c r="C47" s="105"/>
      <c r="D47" s="104"/>
      <c r="E47" s="61">
        <v>41628</v>
      </c>
      <c r="F47" s="110">
        <f t="shared" si="8"/>
        <v>41628</v>
      </c>
      <c r="G47" s="62"/>
      <c r="H47" s="63"/>
      <c r="I47" s="64">
        <f t="shared" ref="I47:I49" si="9">IF(OR(F47=0,E47=0)," - ",NETWORKDAYS(E47,F47))</f>
        <v>1</v>
      </c>
      <c r="J47" s="65"/>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row>
    <row r="48" spans="1:66" s="92" customFormat="1" ht="18.5" hidden="1" x14ac:dyDescent="0.35">
      <c r="A48" s="57"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8" s="106" t="s">
        <v>117</v>
      </c>
      <c r="C48" s="105"/>
      <c r="D48" s="104"/>
      <c r="E48" s="61">
        <v>41629</v>
      </c>
      <c r="F48" s="110">
        <f t="shared" si="8"/>
        <v>41629</v>
      </c>
      <c r="G48" s="62"/>
      <c r="H48" s="63"/>
      <c r="I48" s="64">
        <f t="shared" si="9"/>
        <v>0</v>
      </c>
      <c r="J48" s="65"/>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row>
    <row r="49" spans="1:66" s="92" customFormat="1" ht="18.5" hidden="1" x14ac:dyDescent="0.35">
      <c r="A49" s="57"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9" s="106" t="s">
        <v>118</v>
      </c>
      <c r="C49" s="105"/>
      <c r="D49" s="104"/>
      <c r="E49" s="61">
        <v>41630</v>
      </c>
      <c r="F49" s="110">
        <f t="shared" si="8"/>
        <v>41630</v>
      </c>
      <c r="G49" s="62"/>
      <c r="H49" s="63"/>
      <c r="I49" s="64">
        <f t="shared" si="9"/>
        <v>0</v>
      </c>
      <c r="J49" s="65"/>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row>
    <row r="50" spans="1:66" s="108" customFormat="1" hidden="1" x14ac:dyDescent="0.25">
      <c r="A50" s="107" t="str">
        <f>HYPERLINK("https://vertex42.link/HowToCreateAGanttChart","► Watch How to Create a Gantt Chart in Excel")</f>
        <v>► Watch How to Create a Gantt Chart in Excel</v>
      </c>
      <c r="E50" s="61">
        <v>41631</v>
      </c>
      <c r="F50" s="110">
        <f t="shared" si="8"/>
        <v>41631</v>
      </c>
    </row>
    <row r="51" spans="1:66" s="108" customFormat="1" x14ac:dyDescent="0.25">
      <c r="A51" s="107"/>
      <c r="E51" s="109"/>
    </row>
    <row r="52" spans="1:66" ht="11.5" customHeight="1" x14ac:dyDescent="0.25"/>
  </sheetData>
  <sheetProtection formatCells="0" formatColumns="0" formatRows="0" insertRows="0" deleteRows="0"/>
  <mergeCells count="63">
    <mergeCell ref="AF5:AL5"/>
    <mergeCell ref="K2:AE2"/>
    <mergeCell ref="C5:E5"/>
    <mergeCell ref="K5:Q5"/>
    <mergeCell ref="R5:X5"/>
    <mergeCell ref="Y5:AE5"/>
    <mergeCell ref="DL5:DR5"/>
    <mergeCell ref="AM5:AS5"/>
    <mergeCell ref="AT5:AZ5"/>
    <mergeCell ref="BA5:BG5"/>
    <mergeCell ref="BH5:BN5"/>
    <mergeCell ref="BO5:BU5"/>
    <mergeCell ref="BV5:CB5"/>
    <mergeCell ref="CC5:CI5"/>
    <mergeCell ref="CJ5:CP5"/>
    <mergeCell ref="CQ5:CW5"/>
    <mergeCell ref="CX5:DD5"/>
    <mergeCell ref="DE5:DK5"/>
    <mergeCell ref="GR5:GX5"/>
    <mergeCell ref="DS5:DY5"/>
    <mergeCell ref="DZ5:EF5"/>
    <mergeCell ref="EG5:EM5"/>
    <mergeCell ref="EN5:ET5"/>
    <mergeCell ref="EU5:FA5"/>
    <mergeCell ref="FB5:FH5"/>
    <mergeCell ref="CQ6:CW6"/>
    <mergeCell ref="GY5:HE5"/>
    <mergeCell ref="HF5:HL5"/>
    <mergeCell ref="C6:E6"/>
    <mergeCell ref="K6:Q6"/>
    <mergeCell ref="R6:X6"/>
    <mergeCell ref="Y6:AE6"/>
    <mergeCell ref="AF6:AL6"/>
    <mergeCell ref="AM6:AS6"/>
    <mergeCell ref="AT6:AZ6"/>
    <mergeCell ref="BA6:BG6"/>
    <mergeCell ref="FI5:FO5"/>
    <mergeCell ref="FP5:FV5"/>
    <mergeCell ref="FW5:GC5"/>
    <mergeCell ref="GD5:GJ5"/>
    <mergeCell ref="GK5:GQ5"/>
    <mergeCell ref="BH6:BN6"/>
    <mergeCell ref="BO6:BU6"/>
    <mergeCell ref="BV6:CB6"/>
    <mergeCell ref="CC6:CI6"/>
    <mergeCell ref="CJ6:CP6"/>
    <mergeCell ref="FW6:GC6"/>
    <mergeCell ref="CX6:DD6"/>
    <mergeCell ref="DE6:DK6"/>
    <mergeCell ref="DL6:DR6"/>
    <mergeCell ref="DS6:DY6"/>
    <mergeCell ref="DZ6:EF6"/>
    <mergeCell ref="EG6:EM6"/>
    <mergeCell ref="EN6:ET6"/>
    <mergeCell ref="EU6:FA6"/>
    <mergeCell ref="FB6:FH6"/>
    <mergeCell ref="FI6:FO6"/>
    <mergeCell ref="FP6:FV6"/>
    <mergeCell ref="GD6:GJ6"/>
    <mergeCell ref="GK6:GQ6"/>
    <mergeCell ref="GR6:GX6"/>
    <mergeCell ref="GY6:HE6"/>
    <mergeCell ref="HF6:HL6"/>
  </mergeCells>
  <conditionalFormatting sqref="H9:H49">
    <cfRule type="dataBar" priority="1">
      <dataBar>
        <cfvo type="num" val="0"/>
        <cfvo type="num" val="1"/>
        <color rgb="FF00B050"/>
      </dataBar>
      <extLst>
        <ext xmlns:x14="http://schemas.microsoft.com/office/spreadsheetml/2009/9/main" uri="{B025F937-C7B1-47D3-B67F-A62EFF666E3E}">
          <x14:id>{613A3AD6-95E8-40B9-A2CA-13CBF4CE1069}</x14:id>
        </ext>
      </extLst>
    </cfRule>
  </conditionalFormatting>
  <conditionalFormatting sqref="K9:BN49">
    <cfRule type="expression" dxfId="3" priority="4">
      <formula>AND($E9&lt;=K$7,ROUNDDOWN(($F9-$E9+1)*$H9,0)+$E9-1&gt;=K$7)</formula>
    </cfRule>
    <cfRule type="expression" dxfId="2" priority="5">
      <formula>AND(NOT(ISBLANK($E9)),$E9&lt;=K$7,$F9&gt;=K$7)</formula>
    </cfRule>
  </conditionalFormatting>
  <conditionalFormatting sqref="K7:HL8">
    <cfRule type="expression" dxfId="1" priority="3">
      <formula>K$7=TODAY()</formula>
    </cfRule>
  </conditionalFormatting>
  <conditionalFormatting sqref="BO7:HL8 K7:BN49">
    <cfRule type="expression" dxfId="0" priority="2">
      <formula>K$7=TODAY()</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5" xr:uid="{056A9A02-2B0D-461A-85FC-C589489F6872}"/>
  </dataValidations>
  <hyperlinks>
    <hyperlink ref="K2:AE2" r:id="rId1" display="Gantt Chart Template © 2006-2018 by Vertex42.com." xr:uid="{DF2A0749-CF25-4F71-BD4F-751949F6D4A5}"/>
  </hyperlinks>
  <pageMargins left="0.25" right="0.25" top="0.5" bottom="0.5" header="0.5" footer="0.25"/>
  <pageSetup scale="63" fitToHeight="0" orientation="landscape"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4097" r:id="rId5" name="Scroll Bar 1">
              <controlPr defaultSize="0" print="0" autoPict="0">
                <anchor moveWithCells="1">
                  <from>
                    <xdr:col>9</xdr:col>
                    <xdr:colOff>95250</xdr:colOff>
                    <xdr:row>2</xdr:row>
                    <xdr:rowOff>127000</xdr:rowOff>
                  </from>
                  <to>
                    <xdr:col>25</xdr:col>
                    <xdr:colOff>146050</xdr:colOff>
                    <xdr:row>3</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613A3AD6-95E8-40B9-A2CA-13CBF4CE1069}">
            <x14:dataBar minLength="0" maxLength="100" gradient="0">
              <x14:cfvo type="num">
                <xm:f>0</xm:f>
              </x14:cfvo>
              <x14:cfvo type="num">
                <xm:f>1</xm:f>
              </x14:cfvo>
              <x14:negativeFillColor rgb="FFFF0000"/>
              <x14:axisColor rgb="FF000000"/>
            </x14:dataBar>
          </x14:cfRule>
          <xm:sqref>H9:H49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59D7-4248-4D53-92EB-2F2684E478E4}">
  <sheetPr>
    <tabColor theme="0" tint="-4.9989318521683403E-2"/>
    <pageSetUpPr fitToPage="1"/>
  </sheetPr>
  <dimension ref="B1:H34"/>
  <sheetViews>
    <sheetView showGridLines="0" workbookViewId="0">
      <pane ySplit="1" topLeftCell="A9" activePane="bottomLeft" state="frozen"/>
      <selection pane="bottomLeft" activeCell="J10" sqref="J10"/>
    </sheetView>
  </sheetViews>
  <sheetFormatPr defaultColWidth="10.83203125" defaultRowHeight="16" x14ac:dyDescent="0.35"/>
  <cols>
    <col min="1" max="1" width="3.33203125" style="3" customWidth="1"/>
    <col min="2" max="8" width="27" style="3" customWidth="1"/>
    <col min="9" max="9" width="3.33203125" style="3" customWidth="1"/>
    <col min="10" max="16384" width="10.83203125" style="3"/>
  </cols>
  <sheetData>
    <row r="1" spans="2:8" ht="45" customHeight="1" x14ac:dyDescent="0.45">
      <c r="B1" s="10" t="s">
        <v>4</v>
      </c>
      <c r="C1" s="1"/>
      <c r="D1" s="1"/>
      <c r="E1" s="1"/>
      <c r="F1" s="2"/>
    </row>
    <row r="2" spans="2:8" ht="24" customHeight="1" x14ac:dyDescent="0.35">
      <c r="B2" s="13" t="s">
        <v>1</v>
      </c>
      <c r="C2" s="4"/>
      <c r="D2" s="5"/>
      <c r="E2" s="6"/>
      <c r="F2" s="13" t="s">
        <v>3</v>
      </c>
      <c r="G2" s="4"/>
      <c r="H2" s="6"/>
    </row>
    <row r="3" spans="2:8" ht="24" customHeight="1" x14ac:dyDescent="0.35">
      <c r="B3" s="13" t="s">
        <v>2</v>
      </c>
      <c r="C3" s="4"/>
      <c r="D3" s="5"/>
      <c r="E3" s="6"/>
      <c r="F3" s="13" t="s">
        <v>0</v>
      </c>
      <c r="G3" s="7"/>
      <c r="H3" s="8"/>
    </row>
    <row r="4" spans="2:8" ht="20" customHeight="1" x14ac:dyDescent="0.35"/>
    <row r="5" spans="2:8" ht="18" customHeight="1" x14ac:dyDescent="0.35"/>
    <row r="6" spans="2:8" ht="18" customHeight="1" x14ac:dyDescent="0.35"/>
    <row r="7" spans="2:8" ht="18" customHeight="1" x14ac:dyDescent="0.35"/>
    <row r="8" spans="2:8" ht="18" customHeight="1" x14ac:dyDescent="0.35"/>
    <row r="9" spans="2:8" ht="18" customHeight="1" x14ac:dyDescent="0.35"/>
    <row r="10" spans="2:8" ht="18" customHeight="1" x14ac:dyDescent="0.35"/>
    <row r="11" spans="2:8" ht="18" customHeight="1" x14ac:dyDescent="0.35"/>
    <row r="12" spans="2:8" ht="18" customHeight="1" x14ac:dyDescent="0.35"/>
    <row r="13" spans="2:8" ht="18" customHeight="1" x14ac:dyDescent="0.35"/>
    <row r="14" spans="2:8" ht="18" customHeight="1" x14ac:dyDescent="0.35"/>
    <row r="15" spans="2:8" ht="18" customHeight="1" x14ac:dyDescent="0.35"/>
    <row r="16" spans="2:8" ht="18" customHeight="1" x14ac:dyDescent="0.35"/>
    <row r="17" spans="2:8" ht="18" customHeight="1" x14ac:dyDescent="0.35"/>
    <row r="18" spans="2:8" ht="18" customHeight="1" x14ac:dyDescent="0.35"/>
    <row r="19" spans="2:8" ht="18" customHeight="1" x14ac:dyDescent="0.35"/>
    <row r="20" spans="2:8" ht="18" customHeight="1" x14ac:dyDescent="0.35"/>
    <row r="21" spans="2:8" ht="18" customHeight="1" x14ac:dyDescent="0.35"/>
    <row r="22" spans="2:8" ht="18" customHeight="1" x14ac:dyDescent="0.35"/>
    <row r="23" spans="2:8" ht="20" customHeight="1" x14ac:dyDescent="0.35"/>
    <row r="24" spans="2:8" s="9" customFormat="1" ht="50" customHeight="1" x14ac:dyDescent="0.35">
      <c r="B24" s="11"/>
      <c r="C24" s="12"/>
      <c r="D24" s="12"/>
      <c r="E24" s="12"/>
      <c r="F24" s="12"/>
      <c r="G24" s="12"/>
      <c r="H24" s="12"/>
    </row>
    <row r="25" spans="2:8" ht="18" customHeight="1" x14ac:dyDescent="0.35"/>
    <row r="26" spans="2:8" ht="18" customHeight="1" x14ac:dyDescent="0.35"/>
    <row r="27" spans="2:8" ht="18" customHeight="1" x14ac:dyDescent="0.35"/>
    <row r="28" spans="2:8" ht="18" customHeight="1" x14ac:dyDescent="0.35"/>
    <row r="29" spans="2:8" ht="18" customHeight="1" x14ac:dyDescent="0.35"/>
    <row r="30" spans="2:8" ht="18" customHeight="1" x14ac:dyDescent="0.35"/>
    <row r="31" spans="2:8" ht="18" customHeight="1" x14ac:dyDescent="0.35"/>
    <row r="32" spans="2:8" ht="18" customHeight="1" x14ac:dyDescent="0.35"/>
    <row r="33" ht="18" customHeight="1" x14ac:dyDescent="0.35"/>
    <row r="34" ht="18" customHeight="1" x14ac:dyDescent="0.35"/>
  </sheetData>
  <pageMargins left="0.3" right="0.3" top="0.3" bottom="0.3" header="0" footer="0"/>
  <pageSetup scale="6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2482-71DD-4B53-83A5-175BB0197D83}">
  <dimension ref="A1:G21"/>
  <sheetViews>
    <sheetView workbookViewId="0">
      <selection activeCell="C7" sqref="C7"/>
    </sheetView>
  </sheetViews>
  <sheetFormatPr defaultRowHeight="15.5" x14ac:dyDescent="0.35"/>
  <cols>
    <col min="2" max="2" width="19.6640625" bestFit="1" customWidth="1"/>
    <col min="3" max="3" width="45.5" bestFit="1" customWidth="1"/>
    <col min="4" max="4" width="8.58203125" bestFit="1" customWidth="1"/>
    <col min="6" max="6" width="12.6640625" bestFit="1" customWidth="1"/>
  </cols>
  <sheetData>
    <row r="1" spans="1:7" x14ac:dyDescent="0.35">
      <c r="A1" s="15" t="s">
        <v>5</v>
      </c>
      <c r="B1" s="15" t="s">
        <v>6</v>
      </c>
      <c r="C1" s="15" t="s">
        <v>7</v>
      </c>
      <c r="D1" s="15" t="s">
        <v>8</v>
      </c>
      <c r="E1" s="15" t="s">
        <v>9</v>
      </c>
      <c r="F1" s="15" t="s">
        <v>10</v>
      </c>
      <c r="G1" s="15" t="s">
        <v>11</v>
      </c>
    </row>
    <row r="2" spans="1:7" x14ac:dyDescent="0.35">
      <c r="A2" s="14" t="s">
        <v>12</v>
      </c>
      <c r="B2" s="14" t="s">
        <v>13</v>
      </c>
      <c r="C2" s="14"/>
      <c r="D2" s="14"/>
      <c r="E2" s="14"/>
      <c r="F2" s="14"/>
      <c r="G2" s="14"/>
    </row>
    <row r="3" spans="1:7" x14ac:dyDescent="0.35">
      <c r="A3" s="14" t="s">
        <v>14</v>
      </c>
      <c r="B3" s="14" t="s">
        <v>15</v>
      </c>
      <c r="C3" s="14" t="s">
        <v>16</v>
      </c>
      <c r="D3" s="14"/>
      <c r="E3" s="14"/>
      <c r="F3" s="14"/>
      <c r="G3" s="14"/>
    </row>
    <row r="4" spans="1:7" x14ac:dyDescent="0.35">
      <c r="A4" s="14" t="s">
        <v>17</v>
      </c>
      <c r="B4" s="14" t="s">
        <v>18</v>
      </c>
      <c r="C4" s="14" t="s">
        <v>19</v>
      </c>
      <c r="D4" s="14"/>
      <c r="E4" s="14"/>
      <c r="F4" s="14"/>
      <c r="G4" s="14"/>
    </row>
    <row r="5" spans="1:7" x14ac:dyDescent="0.35">
      <c r="A5" s="14" t="s">
        <v>20</v>
      </c>
      <c r="B5" s="14" t="s">
        <v>21</v>
      </c>
      <c r="C5" s="14"/>
      <c r="D5" s="14"/>
      <c r="E5" s="14"/>
      <c r="F5" s="14"/>
      <c r="G5" s="14"/>
    </row>
    <row r="6" spans="1:7" x14ac:dyDescent="0.35">
      <c r="A6" s="14" t="s">
        <v>22</v>
      </c>
      <c r="B6" s="14" t="s">
        <v>23</v>
      </c>
      <c r="C6" s="14" t="s">
        <v>24</v>
      </c>
      <c r="D6" s="14"/>
      <c r="E6" s="14"/>
      <c r="F6" s="14"/>
      <c r="G6" s="14"/>
    </row>
    <row r="7" spans="1:7" x14ac:dyDescent="0.35">
      <c r="A7" s="14" t="s">
        <v>25</v>
      </c>
      <c r="B7" s="14" t="s">
        <v>26</v>
      </c>
      <c r="C7" s="14" t="s">
        <v>27</v>
      </c>
      <c r="D7" s="14"/>
      <c r="E7" s="14"/>
      <c r="F7" s="14"/>
      <c r="G7" s="14"/>
    </row>
    <row r="8" spans="1:7" x14ac:dyDescent="0.35">
      <c r="A8" s="14" t="s">
        <v>28</v>
      </c>
      <c r="B8" s="14" t="s">
        <v>29</v>
      </c>
      <c r="C8" s="14"/>
      <c r="D8" s="14"/>
      <c r="E8" s="14"/>
      <c r="F8" s="14"/>
      <c r="G8" s="14"/>
    </row>
    <row r="9" spans="1:7" x14ac:dyDescent="0.35">
      <c r="A9" s="14" t="s">
        <v>30</v>
      </c>
      <c r="B9" s="14" t="s">
        <v>31</v>
      </c>
      <c r="C9" s="14" t="s">
        <v>32</v>
      </c>
      <c r="D9" s="14"/>
      <c r="E9" s="14"/>
      <c r="F9" s="14"/>
      <c r="G9" s="14"/>
    </row>
    <row r="10" spans="1:7" x14ac:dyDescent="0.35">
      <c r="A10" s="14" t="s">
        <v>33</v>
      </c>
      <c r="B10" s="14" t="s">
        <v>34</v>
      </c>
      <c r="C10" s="14" t="s">
        <v>35</v>
      </c>
      <c r="D10" s="14"/>
      <c r="E10" s="14"/>
      <c r="F10" s="14"/>
      <c r="G10" s="14"/>
    </row>
    <row r="11" spans="1:7" x14ac:dyDescent="0.35">
      <c r="A11" s="14" t="s">
        <v>36</v>
      </c>
      <c r="B11" s="14" t="s">
        <v>37</v>
      </c>
      <c r="C11" s="14" t="s">
        <v>38</v>
      </c>
      <c r="D11" s="14"/>
      <c r="E11" s="14"/>
      <c r="F11" s="14"/>
      <c r="G11" s="14"/>
    </row>
    <row r="12" spans="1:7" x14ac:dyDescent="0.35">
      <c r="A12" s="14" t="s">
        <v>39</v>
      </c>
      <c r="B12" s="14" t="s">
        <v>40</v>
      </c>
      <c r="C12" s="14" t="s">
        <v>41</v>
      </c>
      <c r="D12" s="14"/>
      <c r="E12" s="14"/>
      <c r="F12" s="14"/>
      <c r="G12" s="14"/>
    </row>
    <row r="13" spans="1:7" x14ac:dyDescent="0.35">
      <c r="A13" s="14" t="s">
        <v>42</v>
      </c>
      <c r="B13" s="14" t="s">
        <v>43</v>
      </c>
      <c r="C13" s="14"/>
      <c r="D13" s="14"/>
      <c r="E13" s="14"/>
      <c r="F13" s="14"/>
      <c r="G13" s="14"/>
    </row>
    <row r="14" spans="1:7" x14ac:dyDescent="0.35">
      <c r="A14" s="14" t="s">
        <v>44</v>
      </c>
      <c r="B14" s="14" t="s">
        <v>45</v>
      </c>
      <c r="C14" s="14" t="s">
        <v>46</v>
      </c>
      <c r="D14" s="14"/>
      <c r="E14" s="14"/>
      <c r="F14" s="14"/>
      <c r="G14" s="14"/>
    </row>
    <row r="15" spans="1:7" x14ac:dyDescent="0.35">
      <c r="A15" s="14" t="s">
        <v>47</v>
      </c>
      <c r="B15" s="14" t="s">
        <v>48</v>
      </c>
      <c r="C15" s="14"/>
      <c r="D15" s="14"/>
      <c r="E15" s="14"/>
      <c r="F15" s="14"/>
      <c r="G15" s="14"/>
    </row>
    <row r="16" spans="1:7" x14ac:dyDescent="0.35">
      <c r="A16" s="14" t="s">
        <v>49</v>
      </c>
      <c r="B16" s="14" t="s">
        <v>50</v>
      </c>
      <c r="C16" s="14" t="s">
        <v>51</v>
      </c>
      <c r="D16" s="14"/>
      <c r="E16" s="14"/>
      <c r="F16" s="14"/>
      <c r="G16" s="14"/>
    </row>
    <row r="17" spans="1:3" x14ac:dyDescent="0.35">
      <c r="A17" s="14" t="s">
        <v>52</v>
      </c>
      <c r="B17" s="14" t="s">
        <v>53</v>
      </c>
      <c r="C17" s="14" t="s">
        <v>54</v>
      </c>
    </row>
    <row r="18" spans="1:3" x14ac:dyDescent="0.35">
      <c r="A18" s="14" t="s">
        <v>55</v>
      </c>
      <c r="B18" s="14" t="s">
        <v>56</v>
      </c>
      <c r="C18" s="14"/>
    </row>
    <row r="19" spans="1:3" x14ac:dyDescent="0.35">
      <c r="A19" s="14" t="s">
        <v>57</v>
      </c>
      <c r="B19" s="14" t="s">
        <v>58</v>
      </c>
      <c r="C19" s="14" t="s">
        <v>59</v>
      </c>
    </row>
    <row r="20" spans="1:3" x14ac:dyDescent="0.35">
      <c r="A20" s="14" t="s">
        <v>60</v>
      </c>
      <c r="B20" s="14" t="s">
        <v>61</v>
      </c>
      <c r="C20" s="14" t="s">
        <v>62</v>
      </c>
    </row>
    <row r="21" spans="1:3" x14ac:dyDescent="0.35">
      <c r="A21" s="14" t="s">
        <v>63</v>
      </c>
      <c r="B21" s="14" t="s">
        <v>64</v>
      </c>
      <c r="C21" s="1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LMS</vt:lpstr>
      <vt:lpstr>WBS Tree Diagram</vt:lpstr>
      <vt:lpstr>WBS</vt:lpstr>
      <vt:lpstr>LMS!prevWBS</vt:lpstr>
      <vt:lpstr>LMS!Print_Area</vt:lpstr>
      <vt:lpstr>'WBS Tree Diagram'!Print_Area</vt:lpstr>
      <vt:lpstr>LMS!Print_Titles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template124</dc:creator>
  <cp:lastModifiedBy>Reynaldi</cp:lastModifiedBy>
  <dcterms:created xsi:type="dcterms:W3CDTF">2016-06-18T21:51:36Z</dcterms:created>
  <dcterms:modified xsi:type="dcterms:W3CDTF">2025-07-15T07:25:35Z</dcterms:modified>
</cp:coreProperties>
</file>